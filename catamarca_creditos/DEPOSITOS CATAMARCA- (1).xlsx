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LUCA\"/>
    </mc:Choice>
  </mc:AlternateContent>
  <bookViews>
    <workbookView xWindow="0" yWindow="0" windowWidth="21570" windowHeight="8055"/>
  </bookViews>
  <sheets>
    <sheet name="DEPOSI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0" i="1" l="1"/>
  <c r="H521" i="1"/>
  <c r="H519" i="1" l="1"/>
  <c r="H518" i="1"/>
  <c r="H509" i="1" l="1"/>
  <c r="H510" i="1"/>
  <c r="H511" i="1"/>
  <c r="H512" i="1"/>
  <c r="H513" i="1"/>
  <c r="H514" i="1"/>
  <c r="H515" i="1"/>
  <c r="H516" i="1"/>
  <c r="H517" i="1"/>
  <c r="H508" i="1" l="1"/>
  <c r="H507" i="1" l="1"/>
  <c r="H503" i="1" l="1"/>
  <c r="H504" i="1"/>
  <c r="H505" i="1"/>
  <c r="H506" i="1"/>
  <c r="H502" i="1" l="1"/>
  <c r="H500" i="1" l="1"/>
  <c r="H501" i="1"/>
  <c r="H499" i="1"/>
  <c r="H495" i="1" l="1"/>
  <c r="H496" i="1"/>
  <c r="H497" i="1"/>
  <c r="H498" i="1"/>
  <c r="H489" i="1" l="1"/>
  <c r="H490" i="1"/>
  <c r="H491" i="1"/>
  <c r="H492" i="1"/>
  <c r="H493" i="1"/>
  <c r="H494" i="1"/>
  <c r="H488" i="1" l="1"/>
  <c r="H486" i="1" l="1"/>
  <c r="H487" i="1"/>
  <c r="H485" i="1" l="1"/>
  <c r="H483" i="1" l="1"/>
  <c r="H484" i="1"/>
  <c r="H482" i="1"/>
  <c r="H481" i="1" l="1"/>
  <c r="H480" i="1"/>
  <c r="H467" i="1" l="1"/>
  <c r="H468" i="1"/>
  <c r="H466" i="1"/>
  <c r="H465" i="1" l="1"/>
  <c r="H461" i="1" l="1"/>
  <c r="H462" i="1"/>
  <c r="H463" i="1"/>
  <c r="H464" i="1"/>
  <c r="H460" i="1" l="1"/>
  <c r="H459" i="1" l="1"/>
  <c r="H454" i="1" l="1"/>
  <c r="H455" i="1"/>
  <c r="H456" i="1"/>
  <c r="H457" i="1"/>
  <c r="H458" i="1"/>
  <c r="H450" i="1" l="1"/>
  <c r="H451" i="1"/>
  <c r="H452" i="1"/>
  <c r="H453" i="1"/>
  <c r="H447" i="1" l="1"/>
  <c r="H448" i="1"/>
  <c r="H449" i="1"/>
  <c r="H446" i="1"/>
  <c r="H441" i="1" l="1"/>
  <c r="H442" i="1"/>
  <c r="H443" i="1"/>
  <c r="H444" i="1"/>
  <c r="H445" i="1"/>
  <c r="H439" i="1" l="1"/>
  <c r="H440" i="1"/>
  <c r="H436" i="1" l="1"/>
  <c r="H437" i="1"/>
  <c r="H438" i="1"/>
  <c r="H429" i="1" l="1"/>
  <c r="H430" i="1"/>
  <c r="H431" i="1"/>
  <c r="H432" i="1"/>
  <c r="H433" i="1"/>
  <c r="H434" i="1"/>
  <c r="H435" i="1"/>
  <c r="H428" i="1" l="1"/>
  <c r="H427" i="1" l="1"/>
  <c r="H426" i="1" l="1"/>
  <c r="H425" i="1" l="1"/>
  <c r="H424" i="1" l="1"/>
  <c r="H423" i="1" l="1"/>
  <c r="H422" i="1"/>
  <c r="H418" i="1" l="1"/>
  <c r="H419" i="1"/>
  <c r="H420" i="1"/>
  <c r="H421" i="1"/>
  <c r="H417" i="1" l="1"/>
  <c r="H416" i="1" l="1"/>
  <c r="H415" i="1" l="1"/>
  <c r="H414" i="1" l="1"/>
  <c r="H413" i="1" l="1"/>
  <c r="H411" i="1" l="1"/>
  <c r="H412" i="1"/>
  <c r="H410" i="1" l="1"/>
  <c r="H408" i="1" l="1"/>
  <c r="H409" i="1"/>
  <c r="H406" i="1" l="1"/>
  <c r="H407" i="1"/>
  <c r="H405" i="1"/>
  <c r="H403" i="1" l="1"/>
  <c r="H404" i="1"/>
  <c r="H401" i="1" l="1"/>
  <c r="H402" i="1"/>
  <c r="H400" i="1" l="1"/>
  <c r="H399" i="1" l="1"/>
  <c r="H398" i="1" l="1"/>
  <c r="H397" i="1"/>
  <c r="H394" i="1" l="1"/>
  <c r="H395" i="1"/>
  <c r="H396" i="1"/>
  <c r="H393" i="1" l="1"/>
  <c r="H390" i="1" l="1"/>
  <c r="H391" i="1"/>
  <c r="H392" i="1"/>
  <c r="H389" i="1" l="1"/>
  <c r="H387" i="1" l="1"/>
  <c r="H388" i="1"/>
  <c r="H385" i="1" l="1"/>
  <c r="H386" i="1"/>
  <c r="H384" i="1" l="1"/>
  <c r="H382" i="1" l="1"/>
  <c r="H383" i="1"/>
  <c r="H381" i="1" l="1"/>
  <c r="H379" i="1" l="1"/>
  <c r="H380" i="1"/>
  <c r="H378" i="1" l="1"/>
  <c r="H376" i="1" l="1"/>
  <c r="H377" i="1"/>
  <c r="H374" i="1" l="1"/>
  <c r="H375" i="1"/>
  <c r="H373" i="1" l="1"/>
  <c r="H372" i="1" l="1"/>
  <c r="H371" i="1" l="1"/>
  <c r="H370" i="1" l="1"/>
  <c r="H369" i="1" l="1"/>
  <c r="H368" i="1"/>
  <c r="H366" i="1" l="1"/>
  <c r="H367" i="1"/>
  <c r="H364" i="1" l="1"/>
  <c r="H365" i="1"/>
  <c r="H362" i="1" l="1"/>
  <c r="H363" i="1"/>
  <c r="H361" i="1" l="1"/>
  <c r="H360" i="1" l="1"/>
  <c r="H359" i="1" l="1"/>
  <c r="H358" i="1" l="1"/>
  <c r="H356" i="1" l="1"/>
  <c r="H357" i="1"/>
  <c r="H355" i="1" l="1"/>
  <c r="H354" i="1" l="1"/>
  <c r="H353" i="1" l="1"/>
  <c r="H352" i="1" l="1"/>
  <c r="H351" i="1" l="1"/>
  <c r="H139" i="1" l="1"/>
  <c r="H138" i="1"/>
  <c r="H137" i="1"/>
  <c r="H350" i="1" l="1"/>
  <c r="H347" i="1"/>
  <c r="H348" i="1"/>
  <c r="H349" i="1"/>
  <c r="H346" i="1" l="1"/>
  <c r="H342" i="1" l="1"/>
  <c r="H343" i="1"/>
  <c r="H344" i="1"/>
  <c r="H345" i="1"/>
  <c r="H340" i="1" l="1"/>
  <c r="H341" i="1"/>
  <c r="H339" i="1"/>
  <c r="H338" i="1" l="1"/>
  <c r="H334" i="1" l="1"/>
  <c r="H335" i="1"/>
  <c r="H336" i="1"/>
  <c r="H337" i="1"/>
  <c r="H333" i="1" l="1"/>
  <c r="H332" i="1"/>
  <c r="H331" i="1" l="1"/>
  <c r="H330" i="1" l="1"/>
  <c r="H328" i="1" l="1"/>
  <c r="H327" i="1" l="1"/>
  <c r="H325" i="1" l="1"/>
  <c r="H326" i="1"/>
  <c r="H323" i="1" l="1"/>
  <c r="H324" i="1"/>
  <c r="H321" i="1" l="1"/>
  <c r="H322" i="1"/>
  <c r="H320" i="1" l="1"/>
  <c r="H316" i="1" l="1"/>
  <c r="H317" i="1"/>
  <c r="H318" i="1"/>
  <c r="H319" i="1"/>
  <c r="H314" i="1" l="1"/>
  <c r="H315" i="1"/>
  <c r="H313" i="1"/>
  <c r="H312" i="1" l="1"/>
  <c r="H308" i="1" l="1"/>
  <c r="H309" i="1"/>
  <c r="H310" i="1"/>
  <c r="H311" i="1"/>
  <c r="H307" i="1" l="1"/>
  <c r="H305" i="1" l="1"/>
  <c r="H306" i="1"/>
  <c r="H304" i="1"/>
  <c r="H300" i="1" l="1"/>
  <c r="H301" i="1"/>
  <c r="H302" i="1"/>
  <c r="H303" i="1"/>
  <c r="H299" i="1" l="1"/>
  <c r="H298" i="1" l="1"/>
  <c r="H294" i="1" l="1"/>
  <c r="H295" i="1"/>
  <c r="H296" i="1"/>
  <c r="H297" i="1"/>
  <c r="H292" i="1" l="1"/>
  <c r="H293" i="1"/>
  <c r="H291" i="1" l="1"/>
  <c r="H289" i="1" l="1"/>
  <c r="H290" i="1"/>
  <c r="H288" i="1" l="1"/>
  <c r="H287" i="1" l="1"/>
  <c r="H286" i="1" l="1"/>
  <c r="H285" i="1" l="1"/>
  <c r="H283" i="1" l="1"/>
  <c r="H284" i="1"/>
  <c r="H280" i="1" l="1"/>
  <c r="H281" i="1"/>
  <c r="H282" i="1"/>
  <c r="H279" i="1" l="1"/>
  <c r="H278" i="1"/>
  <c r="H276" i="1" l="1"/>
  <c r="H277" i="1"/>
  <c r="H275" i="1" l="1"/>
  <c r="H274" i="1"/>
  <c r="H271" i="1" l="1"/>
  <c r="H272" i="1"/>
  <c r="H273" i="1"/>
  <c r="H267" i="1" l="1"/>
  <c r="H268" i="1"/>
  <c r="H269" i="1"/>
  <c r="H270" i="1"/>
  <c r="H259" i="1" l="1"/>
  <c r="H260" i="1"/>
  <c r="H261" i="1"/>
  <c r="H262" i="1"/>
  <c r="H263" i="1"/>
  <c r="H264" i="1"/>
  <c r="H265" i="1"/>
  <c r="H266" i="1"/>
  <c r="H258" i="1" l="1"/>
  <c r="H257" i="1"/>
  <c r="H256" i="1" l="1"/>
  <c r="H255" i="1" l="1"/>
  <c r="H254" i="1" l="1"/>
  <c r="H253" i="1"/>
  <c r="H252" i="1" l="1"/>
  <c r="H251" i="1"/>
  <c r="H250" i="1" l="1"/>
  <c r="H248" i="1" l="1"/>
  <c r="H249" i="1"/>
  <c r="H247" i="1" l="1"/>
  <c r="H243" i="1" l="1"/>
  <c r="H244" i="1"/>
  <c r="H245" i="1"/>
  <c r="H246" i="1"/>
  <c r="H241" i="1" l="1"/>
  <c r="H242" i="1"/>
  <c r="H237" i="1" l="1"/>
  <c r="H238" i="1"/>
  <c r="H239" i="1"/>
  <c r="H240" i="1"/>
  <c r="H235" i="1" l="1"/>
  <c r="H236" i="1"/>
  <c r="H230" i="1" l="1"/>
  <c r="H231" i="1"/>
  <c r="H232" i="1"/>
  <c r="H233" i="1"/>
  <c r="H234" i="1"/>
  <c r="H228" i="1" l="1"/>
  <c r="H229" i="1"/>
  <c r="H227" i="1" l="1"/>
  <c r="H223" i="1" l="1"/>
  <c r="H224" i="1"/>
  <c r="H225" i="1"/>
  <c r="H226" i="1"/>
  <c r="H222" i="1"/>
  <c r="H218" i="1" l="1"/>
  <c r="H219" i="1"/>
  <c r="H220" i="1"/>
  <c r="H221" i="1"/>
  <c r="H215" i="1" l="1"/>
  <c r="H216" i="1"/>
  <c r="H217" i="1"/>
  <c r="H214" i="1" l="1"/>
  <c r="H212" i="1" l="1"/>
  <c r="H213" i="1"/>
  <c r="H210" i="1" l="1"/>
  <c r="H211" i="1"/>
  <c r="H206" i="1" l="1"/>
  <c r="H207" i="1"/>
  <c r="H208" i="1"/>
  <c r="H209" i="1"/>
  <c r="H202" i="1" l="1"/>
  <c r="H203" i="1"/>
  <c r="H204" i="1"/>
  <c r="H205" i="1"/>
  <c r="H201" i="1" l="1"/>
  <c r="H199" i="1" l="1"/>
  <c r="H200" i="1"/>
  <c r="H198" i="1" l="1"/>
  <c r="H196" i="1" l="1"/>
  <c r="H197" i="1"/>
  <c r="H195" i="1"/>
  <c r="H194" i="1" l="1"/>
  <c r="H190" i="1" l="1"/>
  <c r="H191" i="1"/>
  <c r="H192" i="1"/>
  <c r="H193" i="1"/>
  <c r="H189" i="1" l="1"/>
  <c r="H185" i="1" l="1"/>
  <c r="H186" i="1"/>
  <c r="H187" i="1"/>
  <c r="H188" i="1"/>
  <c r="H184" i="1"/>
  <c r="H178" i="1" l="1"/>
  <c r="H179" i="1"/>
  <c r="H180" i="1"/>
  <c r="H181" i="1"/>
  <c r="H182" i="1"/>
  <c r="H183" i="1"/>
  <c r="H176" i="1" l="1"/>
  <c r="H177" i="1"/>
  <c r="H175" i="1" l="1"/>
  <c r="H174" i="1" l="1"/>
  <c r="H170" i="1" l="1"/>
  <c r="H171" i="1"/>
  <c r="H172" i="1"/>
  <c r="H173" i="1"/>
  <c r="H165" i="1" l="1"/>
  <c r="H164" i="1"/>
  <c r="H163" i="1"/>
  <c r="H169" i="1" l="1"/>
  <c r="H168" i="1" l="1"/>
  <c r="H166" i="1" l="1"/>
  <c r="H167" i="1"/>
  <c r="H162" i="1" l="1"/>
  <c r="H161" i="1" l="1"/>
  <c r="H160" i="1" l="1"/>
  <c r="H155" i="1" l="1"/>
  <c r="H156" i="1"/>
  <c r="H157" i="1"/>
  <c r="H158" i="1"/>
  <c r="H159" i="1"/>
  <c r="H154" i="1" l="1"/>
  <c r="H153" i="1" l="1"/>
  <c r="H151" i="1" l="1"/>
  <c r="H152" i="1"/>
  <c r="H150" i="1" l="1"/>
  <c r="H148" i="1" l="1"/>
  <c r="H149" i="1"/>
  <c r="H144" i="1" l="1"/>
  <c r="H145" i="1"/>
  <c r="H146" i="1"/>
  <c r="H147" i="1"/>
  <c r="H140" i="1" l="1"/>
  <c r="H141" i="1"/>
  <c r="H142" i="1"/>
  <c r="H143" i="1"/>
  <c r="H136" i="1" l="1"/>
  <c r="H135" i="1" l="1"/>
  <c r="H134" i="1" l="1"/>
  <c r="H127" i="1"/>
  <c r="H128" i="1"/>
  <c r="H129" i="1"/>
  <c r="H130" i="1"/>
  <c r="H131" i="1"/>
  <c r="H132" i="1"/>
  <c r="H133" i="1"/>
  <c r="H126" i="1" l="1"/>
  <c r="H125" i="1" l="1"/>
  <c r="H124" i="1" l="1"/>
  <c r="H122" i="1" l="1"/>
  <c r="H123" i="1"/>
  <c r="H120" i="1" l="1"/>
  <c r="H121" i="1"/>
  <c r="H116" i="1" l="1"/>
  <c r="H117" i="1"/>
  <c r="H118" i="1"/>
  <c r="H119" i="1"/>
  <c r="H113" i="1" l="1"/>
  <c r="H114" i="1"/>
  <c r="H115" i="1"/>
  <c r="H109" i="1" l="1"/>
  <c r="H110" i="1"/>
  <c r="H111" i="1"/>
  <c r="H112" i="1"/>
  <c r="H106" i="1" l="1"/>
  <c r="H107" i="1"/>
  <c r="H108" i="1"/>
  <c r="H103" i="1" l="1"/>
  <c r="H104" i="1"/>
  <c r="H105" i="1"/>
  <c r="H95" i="1" l="1"/>
  <c r="H96" i="1"/>
  <c r="H97" i="1"/>
  <c r="H98" i="1"/>
  <c r="H99" i="1"/>
  <c r="H100" i="1"/>
  <c r="H101" i="1"/>
  <c r="H102" i="1"/>
  <c r="H93" i="1" l="1"/>
  <c r="H94" i="1"/>
  <c r="H92" i="1" l="1"/>
  <c r="H91" i="1" l="1"/>
  <c r="H90" i="1" l="1"/>
  <c r="H88" i="1" l="1"/>
  <c r="H89" i="1"/>
  <c r="H86" i="1" l="1"/>
  <c r="H87" i="1"/>
  <c r="H85" i="1" l="1"/>
  <c r="H82" i="1" l="1"/>
  <c r="H83" i="1"/>
  <c r="H84" i="1"/>
  <c r="H80" i="1" l="1"/>
  <c r="H81" i="1"/>
  <c r="H77" i="1" l="1"/>
  <c r="H78" i="1"/>
  <c r="H79" i="1"/>
  <c r="H75" i="1" l="1"/>
  <c r="H76" i="1"/>
  <c r="H74" i="1" l="1"/>
  <c r="H73" i="1" l="1"/>
  <c r="H72" i="1" l="1"/>
  <c r="H71" i="1" l="1"/>
  <c r="H66" i="1" l="1"/>
  <c r="H67" i="1"/>
  <c r="H68" i="1"/>
  <c r="H69" i="1"/>
  <c r="H70" i="1"/>
  <c r="H63" i="1" l="1"/>
  <c r="H64" i="1"/>
  <c r="H65" i="1"/>
  <c r="H60" i="1" l="1"/>
  <c r="H61" i="1"/>
  <c r="H62" i="1"/>
  <c r="H57" i="1" l="1"/>
  <c r="H58" i="1"/>
  <c r="H59" i="1"/>
  <c r="H53" i="1" l="1"/>
  <c r="H54" i="1"/>
  <c r="H55" i="1"/>
  <c r="H56" i="1"/>
  <c r="H52" i="1" l="1"/>
  <c r="H38" i="1" l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7" i="1" l="1"/>
  <c r="H34" i="1" l="1"/>
  <c r="H35" i="1"/>
  <c r="H36" i="1"/>
  <c r="H32" i="1" l="1"/>
  <c r="H33" i="1"/>
  <c r="H31" i="1" l="1"/>
  <c r="H30" i="1" l="1"/>
  <c r="H29" i="1"/>
  <c r="H28" i="1" l="1"/>
  <c r="H27" i="1" l="1"/>
  <c r="H25" i="1" l="1"/>
  <c r="H26" i="1"/>
  <c r="H24" i="1" l="1"/>
  <c r="H23" i="1" l="1"/>
  <c r="H22" i="1" l="1"/>
  <c r="H21" i="1" l="1"/>
  <c r="H18" i="1" l="1"/>
  <c r="H19" i="1"/>
  <c r="H20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</calcChain>
</file>

<file path=xl/sharedStrings.xml><?xml version="1.0" encoding="utf-8"?>
<sst xmlns="http://schemas.openxmlformats.org/spreadsheetml/2006/main" count="1044" uniqueCount="867">
  <si>
    <t>NOMBRE Y APELLIDO</t>
  </si>
  <si>
    <t>CUIL</t>
  </si>
  <si>
    <t>CBU</t>
  </si>
  <si>
    <t>MONTO A DEPOSITAR</t>
  </si>
  <si>
    <t>NIEVA ANALIA</t>
  </si>
  <si>
    <t>0110466430046694567147</t>
  </si>
  <si>
    <t>RIVERA LUIS JORGE</t>
  </si>
  <si>
    <t>0110466430046602590229</t>
  </si>
  <si>
    <t>LOPEZ SATURNINA</t>
  </si>
  <si>
    <t>0110158030015807153533</t>
  </si>
  <si>
    <t>QUIROGA JULIO ANTONIO</t>
  </si>
  <si>
    <t>0110493030049313086351</t>
  </si>
  <si>
    <t>CARABAJAL LUIS FERNANDO</t>
  </si>
  <si>
    <t>0110466430046692686879</t>
  </si>
  <si>
    <t>BUSTAMANTE CARLOS ORLANDO</t>
  </si>
  <si>
    <t>0110466430046684321865</t>
  </si>
  <si>
    <t>CANTIDAD DE CUOTAS</t>
  </si>
  <si>
    <t>MONTO DE LA CUOTA</t>
  </si>
  <si>
    <t>BELLIDO YESICA MARICEL</t>
  </si>
  <si>
    <t>0110158030015806942079</t>
  </si>
  <si>
    <t xml:space="preserve">REALES MARIA SOLEDAD </t>
  </si>
  <si>
    <t>0110158030015803463683</t>
  </si>
  <si>
    <t>AYOSA SILVINA BEATRIZ</t>
  </si>
  <si>
    <t>0110466430046688175215</t>
  </si>
  <si>
    <t>MORENO MONICA</t>
  </si>
  <si>
    <t>0110466430046673270851</t>
  </si>
  <si>
    <t>SEGURA DAIANA GRISEL</t>
  </si>
  <si>
    <t>0110706930070603398797</t>
  </si>
  <si>
    <t>RODRIGUEZ JOSE GUILLERMO</t>
  </si>
  <si>
    <t>0110466430046687178529</t>
  </si>
  <si>
    <t>PUGLIESE SILVA MARIANA</t>
  </si>
  <si>
    <t>0110466430046600708497</t>
  </si>
  <si>
    <t>ENRIQUEZ RAMON OSCAR</t>
  </si>
  <si>
    <t>0110466430046680649729</t>
  </si>
  <si>
    <t>GOMEZ WALTER ENRIQUE</t>
  </si>
  <si>
    <t>0110466430046612616601</t>
  </si>
  <si>
    <t>FECHA</t>
  </si>
  <si>
    <t>MONTO A COBRAR</t>
  </si>
  <si>
    <t>PEREZ GOMEZ RAUL ORLANDO</t>
  </si>
  <si>
    <t>0110466430046686010547</t>
  </si>
  <si>
    <t>MOREIRA CARLOS ORLANDA</t>
  </si>
  <si>
    <t>0110706930070602147901</t>
  </si>
  <si>
    <t>VEGA MARTA DEL VALLE</t>
  </si>
  <si>
    <t>0110706930070602165433</t>
  </si>
  <si>
    <t>LUNA CELIA HAYDEE</t>
  </si>
  <si>
    <t>0110466430046693876147</t>
  </si>
  <si>
    <t>NIETO CAROLINA ILEANA</t>
  </si>
  <si>
    <t>0110466430046683510651</t>
  </si>
  <si>
    <t>JIMENEZ RODRIGO</t>
  </si>
  <si>
    <t>0110599530000073451197</t>
  </si>
  <si>
    <t>LUNA VICTOR HUGO</t>
  </si>
  <si>
    <t>0110466430046617529333</t>
  </si>
  <si>
    <t>CHANQUIA JORGE RAMON</t>
  </si>
  <si>
    <t>0110466430046691727447</t>
  </si>
  <si>
    <t>TAPIA MARIA TERESA</t>
  </si>
  <si>
    <t>0110466430046672693851</t>
  </si>
  <si>
    <t>AREVALO MARIA DEL CARMEN</t>
  </si>
  <si>
    <t>0110466430046690603829</t>
  </si>
  <si>
    <t>CASAS JUAN DOMINGO</t>
  </si>
  <si>
    <t>0110466430046612308315</t>
  </si>
  <si>
    <t>SOSA SILVIA PATRICIA</t>
  </si>
  <si>
    <t>0110466430046672239183</t>
  </si>
  <si>
    <t>SOSA ELEONORA DEL CARMEN</t>
  </si>
  <si>
    <t>0110466430046687581329</t>
  </si>
  <si>
    <t>CONTRERAS ANA MARIA</t>
  </si>
  <si>
    <t>0110704530070400089133</t>
  </si>
  <si>
    <t>QUINTEROS JUAN ANTONIO</t>
  </si>
  <si>
    <t>0110466430046602590397</t>
  </si>
  <si>
    <t>SIGAMPA JOSE ALBERTO</t>
  </si>
  <si>
    <t>0110466430046676042833</t>
  </si>
  <si>
    <t>MAIDANA PATRICIA INES</t>
  </si>
  <si>
    <t>0110466430046673499397</t>
  </si>
  <si>
    <t>LLOMPART JOSE NICOLAS</t>
  </si>
  <si>
    <t>0110466430046608553983</t>
  </si>
  <si>
    <t>NIEVA RAMON EDUARDO</t>
  </si>
  <si>
    <t>0110466430046673095601</t>
  </si>
  <si>
    <t>ROJAS MANUEL OSCAR</t>
  </si>
  <si>
    <t>0110466430046672590251</t>
  </si>
  <si>
    <t>ARROYO SUSANA DEL ROSARIO</t>
  </si>
  <si>
    <t>0110466430046683624897</t>
  </si>
  <si>
    <t>MOLINA VERONICA MARIELA</t>
  </si>
  <si>
    <t>0110466430046688190397</t>
  </si>
  <si>
    <t>APAZA CRISTIAN ROBERTO</t>
  </si>
  <si>
    <t>0110466430046684687501</t>
  </si>
  <si>
    <t>GIMENEZ MARIA DEL VALLE</t>
  </si>
  <si>
    <t>0110466430046607093747</t>
  </si>
  <si>
    <t>ZANI MARCELA ELIZABETH</t>
  </si>
  <si>
    <t>0110706930070604516833</t>
  </si>
  <si>
    <t>DENIZ SABRINA SOLEDAD</t>
  </si>
  <si>
    <t>0110599530000054852665</t>
  </si>
  <si>
    <t>GARCIA LAVIN LUIS HERNAN</t>
  </si>
  <si>
    <t>0110069330006904269401</t>
  </si>
  <si>
    <t>SECO RAMON EDGARDO</t>
  </si>
  <si>
    <t>0110466430046615147951</t>
  </si>
  <si>
    <t>CHAYLE ROSA</t>
  </si>
  <si>
    <t>0110466430046686938201</t>
  </si>
  <si>
    <t>AVALOS RAMON ROSA</t>
  </si>
  <si>
    <t xml:space="preserve">DIAZ SUAREZ ESTEBAN </t>
  </si>
  <si>
    <t>RODRIGUEZ FRANCISCA</t>
  </si>
  <si>
    <t>ACESOL ENRIQUETA</t>
  </si>
  <si>
    <t>0110466430046686861565</t>
  </si>
  <si>
    <t>0110466430046694362179</t>
  </si>
  <si>
    <t>0110466430046605889483</t>
  </si>
  <si>
    <t>0110466430046685792183</t>
  </si>
  <si>
    <t>ASTUDILLO RAMON ALEJANDRO</t>
  </si>
  <si>
    <t>0110466430046616873233</t>
  </si>
  <si>
    <t>SEGURA ANGELA MAILEN</t>
  </si>
  <si>
    <t>0110706930070605105083</t>
  </si>
  <si>
    <t>OVEJERO ORLANDO OMAR</t>
  </si>
  <si>
    <t>0110466430046685702351</t>
  </si>
  <si>
    <t>MORENO MAURICIO EMANUEL</t>
  </si>
  <si>
    <t>0110466430046689035329</t>
  </si>
  <si>
    <t>AGÜERO DANIEL ALBERTO</t>
  </si>
  <si>
    <t>0110706930070603407365</t>
  </si>
  <si>
    <t>TOLOSA OSCAR DANIEL</t>
  </si>
  <si>
    <t>0110466430046615302529</t>
  </si>
  <si>
    <t>GUEVARA DANIEL GUSTAVO</t>
  </si>
  <si>
    <t>0110466430046601972451</t>
  </si>
  <si>
    <t>BORDON JUANA ROSA</t>
  </si>
  <si>
    <t>0110466430046600735965</t>
  </si>
  <si>
    <t>ZARATE MARTHA ESTELA</t>
  </si>
  <si>
    <t>0110466430046613779633</t>
  </si>
  <si>
    <t>RODRIGUEZ EDITH ELIZABETH</t>
  </si>
  <si>
    <t>0110466430046692418751</t>
  </si>
  <si>
    <t>CEBALLOS JOSE CANDELARIO</t>
  </si>
  <si>
    <t>0110466430046672753779</t>
  </si>
  <si>
    <t>SORIA MARIA ROSALIA</t>
  </si>
  <si>
    <t>0110466430046612633215</t>
  </si>
  <si>
    <t>ROMERO MARCOS ALEJANDRO</t>
  </si>
  <si>
    <t>0110466430046683904629</t>
  </si>
  <si>
    <t>CISNERO GONZALO MARTIN</t>
  </si>
  <si>
    <t>0110466430046687583929</t>
  </si>
  <si>
    <t>CABALLERO CLAUDIA EDITH</t>
  </si>
  <si>
    <t>0110706930070603397565</t>
  </si>
  <si>
    <t>ACOSTA MARTILA ALBINA</t>
  </si>
  <si>
    <t>0110710630071001083915</t>
  </si>
  <si>
    <t>0110466430046672402879</t>
  </si>
  <si>
    <t>BARRIENTOS ANA MARIA</t>
  </si>
  <si>
    <t>LEIVA DAZA SALOME DEL VALLE</t>
  </si>
  <si>
    <t>NUÑEZ NELIDA DEL VALLE</t>
  </si>
  <si>
    <t>0110466430046615338315</t>
  </si>
  <si>
    <t>0110466430046600944783</t>
  </si>
  <si>
    <t>LOPEZ GIMENEZ FERNANDO</t>
  </si>
  <si>
    <t>0110466430046612618133</t>
  </si>
  <si>
    <t>PERAYRA MARIA LEONOR</t>
  </si>
  <si>
    <t>0110466430046616261401</t>
  </si>
  <si>
    <t>TAPIA MARIA SOLEDAD</t>
  </si>
  <si>
    <t>0110466430046679818015</t>
  </si>
  <si>
    <t>GONZALEZ ANGEL ANTONIO</t>
  </si>
  <si>
    <t>0110466430046618703701</t>
  </si>
  <si>
    <t>CANO MARIELA SILVINA</t>
  </si>
  <si>
    <t>0110706930070600051633</t>
  </si>
  <si>
    <t>CARRIZO MARCELA DEL VALLE</t>
  </si>
  <si>
    <t>0110519330051901879629</t>
  </si>
  <si>
    <t>AGÜERO GRACIELA ESTEFANIA</t>
  </si>
  <si>
    <t>0110466430046684456983</t>
  </si>
  <si>
    <t>LEIVA MARIA NATALIA</t>
  </si>
  <si>
    <t>0110466430046612788601</t>
  </si>
  <si>
    <t>GALIA OSMAR FABIAN</t>
  </si>
  <si>
    <t>0110466430046616165765</t>
  </si>
  <si>
    <t>ROMERO ARNALDO ANTONIO</t>
  </si>
  <si>
    <t>0110466430046681497679</t>
  </si>
  <si>
    <t>LOPEZ MATIAS NICOLAS</t>
  </si>
  <si>
    <t>0110466430046693875229</t>
  </si>
  <si>
    <t>MOREIRA CARLOS ORLANDO</t>
  </si>
  <si>
    <t>BURGOS MARCELA EDITH</t>
  </si>
  <si>
    <t>0110466430046673512029</t>
  </si>
  <si>
    <t>ACOSTA LUIS VICENTE</t>
  </si>
  <si>
    <t>0110466430046612592129</t>
  </si>
  <si>
    <t>PACHECO NESTOR RICARDO</t>
  </si>
  <si>
    <t>0110466430046685740229</t>
  </si>
  <si>
    <t>QUINTEROS ALEXIS RODRIGO</t>
  </si>
  <si>
    <t>0110466430046690571465</t>
  </si>
  <si>
    <t>ROJAS ANDRES RODOLFO</t>
  </si>
  <si>
    <t>0110466430046673426247</t>
  </si>
  <si>
    <t>PEREZ ALDO CESAR</t>
  </si>
  <si>
    <t>0110466430046685508133</t>
  </si>
  <si>
    <t>FUENTES NELIDA DEL CARMEN</t>
  </si>
  <si>
    <t>0110466430046610470447</t>
  </si>
  <si>
    <t>CASIMIRO JORGE SEBASTIAN</t>
  </si>
  <si>
    <t>0110466430046684451179</t>
  </si>
  <si>
    <t>CASTRO VICTOR HUGO</t>
  </si>
  <si>
    <t>0110466430046680450965</t>
  </si>
  <si>
    <t>QUIROGA CRISTIAN EZEQUIEL</t>
  </si>
  <si>
    <t>0110466430046607967565</t>
  </si>
  <si>
    <t xml:space="preserve">ALVARADO SEBASTIAN </t>
  </si>
  <si>
    <t>0110493030049311783797</t>
  </si>
  <si>
    <t>ACOSTA CLARISA ANAQUE</t>
  </si>
  <si>
    <t>0110466430046692420833</t>
  </si>
  <si>
    <t>OCAMPO NORMA VIOLETA</t>
  </si>
  <si>
    <t>0110466430046618652447</t>
  </si>
  <si>
    <t>GUTIERREZ CLAUDIA ELIZABETH</t>
  </si>
  <si>
    <t>0110466430046690922201</t>
  </si>
  <si>
    <t>MERCADO JUAREZ ALEXIS DAVID</t>
  </si>
  <si>
    <t>0110466430046684879029</t>
  </si>
  <si>
    <t>ACEVEDO MARCOS LUCAS</t>
  </si>
  <si>
    <t>0110466430046684072015</t>
  </si>
  <si>
    <t>ACUÑA MARIANA ELVIRA</t>
  </si>
  <si>
    <t>0110706930070606159683</t>
  </si>
  <si>
    <t>NARVAEZ MONICA ANDREA</t>
  </si>
  <si>
    <t>0110706930070606384333</t>
  </si>
  <si>
    <t>SALAS JUAN NICOLAS</t>
  </si>
  <si>
    <t>0110706930070601765283</t>
  </si>
  <si>
    <t>CHASAMPI MARIA LAURA</t>
  </si>
  <si>
    <t>0110740330074004439747</t>
  </si>
  <si>
    <t>DAVILA MONICA GRACIELA</t>
  </si>
  <si>
    <t>0110466430046692836083</t>
  </si>
  <si>
    <t>SARMIENTO SERGIO DANIEL</t>
  </si>
  <si>
    <t>0110466430046685916297</t>
  </si>
  <si>
    <t>CEBALLOS JOSE ANDRES</t>
  </si>
  <si>
    <t>0110466430046672753465</t>
  </si>
  <si>
    <t>GUZMAN AMANDA VIRGINIA</t>
  </si>
  <si>
    <t>0110153530015345502433</t>
  </si>
  <si>
    <t>LALLANA OSCAR ALBERTO</t>
  </si>
  <si>
    <t>0110466430046672952329</t>
  </si>
  <si>
    <t>FIGUEROA DOLORES DEL SEÑOR</t>
  </si>
  <si>
    <t>0110466430046679291683</t>
  </si>
  <si>
    <t>CHACOMA MARIA CRISTINA</t>
  </si>
  <si>
    <t>0110466430046689638665</t>
  </si>
  <si>
    <t>AGÜERO SAUL RAFAEL CAYETANO</t>
  </si>
  <si>
    <t>0110706930070603857115</t>
  </si>
  <si>
    <t>REYNOSO CARLOS ANTONIO</t>
  </si>
  <si>
    <t>0110466430046672555733</t>
  </si>
  <si>
    <t>TANQUIA RODOLFO NICOLAS</t>
  </si>
  <si>
    <t>0110466430046685520001</t>
  </si>
  <si>
    <t>DIAZ CINTIA MABEL</t>
  </si>
  <si>
    <t>0110710630071001940229</t>
  </si>
  <si>
    <t>CEJAS SERGIO ROLANDO</t>
  </si>
  <si>
    <t>0110466430046685465065</t>
  </si>
  <si>
    <t>REYNOSO ROSA ADRIANA</t>
  </si>
  <si>
    <t>0110466430046688702129</t>
  </si>
  <si>
    <t>MALDONADO RAMON JOSE</t>
  </si>
  <si>
    <t>0110705230070500147001</t>
  </si>
  <si>
    <t>VERGARA MARIA JOSEFINA</t>
  </si>
  <si>
    <t>0110466430046673165247</t>
  </si>
  <si>
    <t>ALVAREZ JUAN RAMON</t>
  </si>
  <si>
    <t>0110466430046600318001</t>
  </si>
  <si>
    <t>SQUIRE GUILLERMO ANDRES</t>
  </si>
  <si>
    <t>0110466430046683735515</t>
  </si>
  <si>
    <t>ARANDA KARINA SILVINA</t>
  </si>
  <si>
    <t>0110466430046684658051</t>
  </si>
  <si>
    <t>BARRIONUEVO MARCOS</t>
  </si>
  <si>
    <t>0110466430046680602779</t>
  </si>
  <si>
    <t>BARROSO MARIA EUGENIA</t>
  </si>
  <si>
    <t>0110466430046605168083</t>
  </si>
  <si>
    <t>MONTALVAN MARIA SILVIA</t>
  </si>
  <si>
    <t>LAMAS OMAR ALBERTO</t>
  </si>
  <si>
    <t>ALDERETE VICTOR ARIEL</t>
  </si>
  <si>
    <t>CORDOBA SERGIO FABIAN</t>
  </si>
  <si>
    <t>AROCA MARCO DEL JESUS</t>
  </si>
  <si>
    <t>BRAVO NORMA DEL VALLE</t>
  </si>
  <si>
    <t>0110466430046610102797</t>
  </si>
  <si>
    <t>0110519330051901838547</t>
  </si>
  <si>
    <t>0110466430046685660651</t>
  </si>
  <si>
    <t>0110466430046612600329</t>
  </si>
  <si>
    <t>0110466430046680999329</t>
  </si>
  <si>
    <t>0110466430046672448529</t>
  </si>
  <si>
    <t>DE OLIVERA YAMILA VERONICA</t>
  </si>
  <si>
    <t>0110493030049312621483</t>
  </si>
  <si>
    <t>VILLAVICENCIO MARIO ATILIO</t>
  </si>
  <si>
    <t>0110704530070404253033</t>
  </si>
  <si>
    <t>CHUMBA JUAN CARLOS</t>
  </si>
  <si>
    <t>0110466430046693174951</t>
  </si>
  <si>
    <t>IBARRA MARIO DE JESUS</t>
  </si>
  <si>
    <t>0110466430046684672765</t>
  </si>
  <si>
    <t>SORIA PEDRAZA MARCELA ELIZABETH</t>
  </si>
  <si>
    <t>0110466430046684096897</t>
  </si>
  <si>
    <t>SALICA JOSE MARCELO</t>
  </si>
  <si>
    <t>0110466430046684703447</t>
  </si>
  <si>
    <t>DEL SUELDO RAQUEL ALCIRA</t>
  </si>
  <si>
    <t>0110466430046618908083</t>
  </si>
  <si>
    <t>BENAVIDEZ MARCELO JAVIER</t>
  </si>
  <si>
    <t>0110706930070602497129</t>
  </si>
  <si>
    <t>VILLACORTA CARLOS GABRIEL</t>
  </si>
  <si>
    <t>0110466430046685861283</t>
  </si>
  <si>
    <t>SORIA CLAUDIA JOSEGA</t>
  </si>
  <si>
    <t>0110466430046672667379</t>
  </si>
  <si>
    <t>LOBO SERGIO JAVIER</t>
  </si>
  <si>
    <t>0110706930070603913147</t>
  </si>
  <si>
    <t>AGÜERO LENCINA CLAUDIA</t>
  </si>
  <si>
    <t>0110115330011502534697</t>
  </si>
  <si>
    <t>LENCINA FRANCO DAVID</t>
  </si>
  <si>
    <t>0110466430046612603151</t>
  </si>
  <si>
    <t>ESPECHE JULIO FABIAN</t>
  </si>
  <si>
    <t>0110466430046685354583</t>
  </si>
  <si>
    <t>DI MARI ANA INES</t>
  </si>
  <si>
    <t>0110466430046679285097</t>
  </si>
  <si>
    <t>NIEVA DANIEL REINALDO</t>
  </si>
  <si>
    <t>0110466430046687031947</t>
  </si>
  <si>
    <t>TOLEDO JUAREZ MARIA LAURA</t>
  </si>
  <si>
    <t>0110466430046683783897</t>
  </si>
  <si>
    <t>TERAN ANA KARINA</t>
  </si>
  <si>
    <t>0110466430046612640101</t>
  </si>
  <si>
    <t>OLIVERA DARIO HERNAN</t>
  </si>
  <si>
    <t>BOLZAN ROMINA MARIEL</t>
  </si>
  <si>
    <t>0110466430046683505983</t>
  </si>
  <si>
    <t>RODRIGUEZ JOSE LUIS</t>
  </si>
  <si>
    <t>0110466430046612619747</t>
  </si>
  <si>
    <t>RAMOS MERCEDES DEL CARMEN</t>
  </si>
  <si>
    <t>0110466430046672543033</t>
  </si>
  <si>
    <t>0110706930070608411301</t>
  </si>
  <si>
    <t>BAZAN AMELIA SOLEDAD</t>
  </si>
  <si>
    <t>0110466430046692414629</t>
  </si>
  <si>
    <t>AVILA SERGIO GUSTAVO</t>
  </si>
  <si>
    <t>0110466430046686012697</t>
  </si>
  <si>
    <t>BOLLECICH KATHERINA DAIANA</t>
  </si>
  <si>
    <t>0110466430046602920015</t>
  </si>
  <si>
    <t>GIMENEZ SERGIO ADRIAN</t>
  </si>
  <si>
    <t>0110466430046685575933</t>
  </si>
  <si>
    <t>RIVERO MARIA LUCIA</t>
  </si>
  <si>
    <t>0110706930070603532483</t>
  </si>
  <si>
    <t>VIZCARRA MARIA DEL VALLE</t>
  </si>
  <si>
    <t>0110466430046618159733</t>
  </si>
  <si>
    <t>VERA GRACIELA ESTER</t>
  </si>
  <si>
    <t>0110466430046689642033</t>
  </si>
  <si>
    <t>ALIENDRO ROSA DEL CARMEN</t>
  </si>
  <si>
    <t>0110466430046680650679</t>
  </si>
  <si>
    <t>SANTILLAN SILVIA SOLEDAD</t>
  </si>
  <si>
    <t>0110466430046684826865</t>
  </si>
  <si>
    <t>BURELA LUIS ALBERTO</t>
  </si>
  <si>
    <t>0110466430046692302847</t>
  </si>
  <si>
    <t>PALACIOS ANGELA NORMA</t>
  </si>
  <si>
    <t>0110466430046618162351</t>
  </si>
  <si>
    <t>ALDAO PEDRO FRANCISCO</t>
  </si>
  <si>
    <t>0110115330011504550497</t>
  </si>
  <si>
    <t>ROSON NATALIA SOLEDAD</t>
  </si>
  <si>
    <t>0110466430046688343579</t>
  </si>
  <si>
    <t>AVELLANEDA GRACIELA BEATRIZ</t>
  </si>
  <si>
    <t>0110466430046610677497</t>
  </si>
  <si>
    <t>RODRIGUEZ ROSA MERCEDEZ</t>
  </si>
  <si>
    <t>0110493030049312158147</t>
  </si>
  <si>
    <t>CARRIZO DORA EMILSE</t>
  </si>
  <si>
    <t>0110466430046612319401</t>
  </si>
  <si>
    <t>RODRIGUEZ FRANCISCO DANIEL</t>
  </si>
  <si>
    <t>0110466430046673241615</t>
  </si>
  <si>
    <t>ABREGU RAMON ROLANDO</t>
  </si>
  <si>
    <t>0110740330074003969647</t>
  </si>
  <si>
    <t>ARREGUEZ ROSA VERONICA</t>
  </si>
  <si>
    <t>0110466430046685729347</t>
  </si>
  <si>
    <t>ZELAYA HECTOR FERNANDO</t>
  </si>
  <si>
    <t>0110466430046680944633</t>
  </si>
  <si>
    <t>HERRERA MARIA ISABEL</t>
  </si>
  <si>
    <t>0110466430046615000683</t>
  </si>
  <si>
    <t>SUELDO BLANCA NORMA</t>
  </si>
  <si>
    <t>0110704530070402653033</t>
  </si>
  <si>
    <t>MOYA JORGELINA DEL CARMEN</t>
  </si>
  <si>
    <t>0110466430046673068065</t>
  </si>
  <si>
    <t>GUTIERREZ SERGIO GUSTAVO</t>
  </si>
  <si>
    <t>0110466430046616183365</t>
  </si>
  <si>
    <t>CARRIZO JOSE LUIS</t>
  </si>
  <si>
    <t>0110466430046685131083</t>
  </si>
  <si>
    <t>VARELA JORGE EDUARDO</t>
  </si>
  <si>
    <t>0110466430046685655501</t>
  </si>
  <si>
    <t>CARRIZO ALBERTO DAVID</t>
  </si>
  <si>
    <t>0110466430046685908933</t>
  </si>
  <si>
    <t>ARNEDO ANGELA ESTHER</t>
  </si>
  <si>
    <t>0110493030049313040847</t>
  </si>
  <si>
    <t>ANDRADA LUIS ALBERTO</t>
  </si>
  <si>
    <t>0110466430046616081515</t>
  </si>
  <si>
    <t>LOBO SERGIO DANTE</t>
  </si>
  <si>
    <t>0110466430046600101883</t>
  </si>
  <si>
    <t>JUAREZ JOSE ARTURO</t>
  </si>
  <si>
    <t>0110466430046600399965</t>
  </si>
  <si>
    <t>GUZMAN RUBEN ANTONIO</t>
  </si>
  <si>
    <t>0110466430046672917351</t>
  </si>
  <si>
    <t>SANCHEZ PEDRO RAMON</t>
  </si>
  <si>
    <t>0110706930070602273497</t>
  </si>
  <si>
    <t>FERREYRA MIRTHA NOEMI</t>
  </si>
  <si>
    <t>0110466430046602191415</t>
  </si>
  <si>
    <t>PALACIOS MARIA DE LOS ANGELES</t>
  </si>
  <si>
    <t>0110466430046688431951</t>
  </si>
  <si>
    <t>CUELLO ROCA TERESA NATALIA</t>
  </si>
  <si>
    <t>0110466430046680837115</t>
  </si>
  <si>
    <t>SUAREZ WALTER DEL VALLE</t>
  </si>
  <si>
    <t>0110740330074000870029</t>
  </si>
  <si>
    <t>FREGENAL RODOLFO</t>
  </si>
  <si>
    <t>0110706930070603060201</t>
  </si>
  <si>
    <t>COBACHO FERNANDO LUIS</t>
  </si>
  <si>
    <t>0110466430046612601797</t>
  </si>
  <si>
    <t>ALVAREZ FRANCISCO ESTEBAN</t>
  </si>
  <si>
    <t>0110466430046680572465</t>
  </si>
  <si>
    <t>ACOSTA DIEGO ALEJANDRO</t>
  </si>
  <si>
    <t>0110740330074000260965</t>
  </si>
  <si>
    <t>HERRERA SERGIO OMAR</t>
  </si>
  <si>
    <t>0110466430046610664879</t>
  </si>
  <si>
    <t>LEGUIZAMON MARCELA ETHEL</t>
  </si>
  <si>
    <t>0110466430046612082451</t>
  </si>
  <si>
    <t>AREVALO YANINA NATALIA</t>
  </si>
  <si>
    <t>0110466430046612629779</t>
  </si>
  <si>
    <t>DIAZ MATEO DE JESUS</t>
  </si>
  <si>
    <t>0110466430046685123651</t>
  </si>
  <si>
    <t>SIGAMPA MIGUEL ANGEL</t>
  </si>
  <si>
    <t>0110466430046618729329</t>
  </si>
  <si>
    <t>RIVADENEIRA RENE ALBERTO</t>
  </si>
  <si>
    <t>0110466430046606252233</t>
  </si>
  <si>
    <t>MONTENEGRO CARLOS ALBERTO</t>
  </si>
  <si>
    <t>0110263730026315088097</t>
  </si>
  <si>
    <t>LEIVA GLADYS ESTER</t>
  </si>
  <si>
    <t>0110466430046672961501</t>
  </si>
  <si>
    <t>REYNOSO ANGEL HORACIO</t>
  </si>
  <si>
    <t>0110466430046689144751</t>
  </si>
  <si>
    <t>OVEJERO SERGIO RAMON</t>
  </si>
  <si>
    <t>0110466430046685605933</t>
  </si>
  <si>
    <t>ARAGON HECTOR JOSE</t>
  </si>
  <si>
    <t>0110706930070606093033</t>
  </si>
  <si>
    <t>PEDRAZA JOSE GERMAN</t>
  </si>
  <si>
    <t>0110466430046612597247</t>
  </si>
  <si>
    <t>ROMERO GABRIELA LAURA</t>
  </si>
  <si>
    <t>0110466430046689063265</t>
  </si>
  <si>
    <t>PAULETTO AIDA CONSTANZA</t>
  </si>
  <si>
    <t>0110466430046687920151</t>
  </si>
  <si>
    <t>AVELLANEDA MANUEL EDUARDO</t>
  </si>
  <si>
    <t>0110466430046610401047</t>
  </si>
  <si>
    <t>MERCADO SILVIA DANIELA</t>
  </si>
  <si>
    <t>0110466430046612620147</t>
  </si>
  <si>
    <t>ESPECHE ANA MARIA</t>
  </si>
  <si>
    <t>0110466430046693670329</t>
  </si>
  <si>
    <t>VARELA EDUARDO ARIEL</t>
  </si>
  <si>
    <t>0110706930070603105115</t>
  </si>
  <si>
    <t>QUIROGA ANGEL GERARDO</t>
  </si>
  <si>
    <t>0110466430046609057965</t>
  </si>
  <si>
    <t>MONLLAU DIEGO ABEL</t>
  </si>
  <si>
    <t>0110466430046617421783</t>
  </si>
  <si>
    <t>MERCADO MAFALDA DEL VALLE</t>
  </si>
  <si>
    <t>0110740330074001342347</t>
  </si>
  <si>
    <t>ROMAY DUILIO ROLANDO EVER</t>
  </si>
  <si>
    <t>0110706930070605874215</t>
  </si>
  <si>
    <t>AGÜERO NORMA MIRIAM</t>
  </si>
  <si>
    <t>0110706930070603652833</t>
  </si>
  <si>
    <t>OCAMPO JUANA DEL VALLE</t>
  </si>
  <si>
    <t>0110466430046601262147</t>
  </si>
  <si>
    <t>VIVANCO MARCELA SILVINA</t>
  </si>
  <si>
    <t>0110466430046693340165</t>
  </si>
  <si>
    <t>DAVILA DIONISIA NICOLASA</t>
  </si>
  <si>
    <t>0110466430046601257547</t>
  </si>
  <si>
    <t>ABRAM LUCAS NAHUEL</t>
  </si>
  <si>
    <t>0110466430046699515851</t>
  </si>
  <si>
    <t>ZARATE ENRIQUE OMAR</t>
  </si>
  <si>
    <t>0110466430046689415097</t>
  </si>
  <si>
    <t>CHAYLE ROSA CECILIA</t>
  </si>
  <si>
    <t>TITOS LIDIA BEATRIZ</t>
  </si>
  <si>
    <t>0110466430046602755651</t>
  </si>
  <si>
    <t>LLOMPART ANA ELIZABETH DEL VALLE</t>
  </si>
  <si>
    <t>0110466430046693246401</t>
  </si>
  <si>
    <t>PONCE SILVIA ISABEL</t>
  </si>
  <si>
    <t>0110466430046613479533</t>
  </si>
  <si>
    <t>ARROYO ROSA DEL CARMEN</t>
  </si>
  <si>
    <t>SANTUCHO NANCY DEL ROSARIO</t>
  </si>
  <si>
    <t>ALIENDRO LUIS ALBERTO</t>
  </si>
  <si>
    <t>0110706930070602289151</t>
  </si>
  <si>
    <t>0110466430046672638683</t>
  </si>
  <si>
    <t>0110466430046681134765</t>
  </si>
  <si>
    <t>SEGOVIA AMADO ALBERTO</t>
  </si>
  <si>
    <t>0110158030015802774979</t>
  </si>
  <si>
    <t>VALDEZ JUAN MATIAS</t>
  </si>
  <si>
    <t>0110704530070403166051</t>
  </si>
  <si>
    <t>ARCURI PATRICIA ROSA</t>
  </si>
  <si>
    <t>0110466430046612626879</t>
  </si>
  <si>
    <t>GONZALEZ JOSE RICARDO</t>
  </si>
  <si>
    <t>0110466430046690601229</t>
  </si>
  <si>
    <t>ESCALANTE SILVIA ANGELICA DEL VALLE</t>
  </si>
  <si>
    <t>0110158030015804941115</t>
  </si>
  <si>
    <t>BREPPE HUGO ROLANDO</t>
  </si>
  <si>
    <t>0110466430046680698301</t>
  </si>
  <si>
    <t>CORDOBA RITA DEL VALLE</t>
  </si>
  <si>
    <t>0110158030015802808933</t>
  </si>
  <si>
    <t>MAMANI SILVA JOSE EMILIO</t>
  </si>
  <si>
    <t>0110466430046671970029</t>
  </si>
  <si>
    <t>BUSTAMANTE NESTOR RUBEN</t>
  </si>
  <si>
    <t>0110706930070602134079</t>
  </si>
  <si>
    <t>BUSTAMANTE CLELIA DEL VALLE</t>
  </si>
  <si>
    <t>0110466430046611812697</t>
  </si>
  <si>
    <t>AREVALO MARIA INES</t>
  </si>
  <si>
    <t>0110466430046615312179</t>
  </si>
  <si>
    <t>JUAREZ MARIANO ALBERTO</t>
  </si>
  <si>
    <t>011046643004608221679</t>
  </si>
  <si>
    <t>AYBAR YESICA KARINA</t>
  </si>
  <si>
    <t>0110466430046615233351</t>
  </si>
  <si>
    <t>BONADER MARIA LAURA</t>
  </si>
  <si>
    <t>0110706930070600047333</t>
  </si>
  <si>
    <t>DELGADO JULIA ERNESTINA</t>
  </si>
  <si>
    <t>0110706930070605625783</t>
  </si>
  <si>
    <t>DIAZ PAOLA VANESSA</t>
  </si>
  <si>
    <t>0110466430046690603997</t>
  </si>
  <si>
    <t>AREVALO NELIDA DEL VALLE</t>
  </si>
  <si>
    <t>0110466430046607494083</t>
  </si>
  <si>
    <t>LERA SAILVANA ISABEL</t>
  </si>
  <si>
    <t>0110158030015800241929</t>
  </si>
  <si>
    <t>BARRIONUEVO ALICIA DE JESUS</t>
  </si>
  <si>
    <t>0110466430046602185133</t>
  </si>
  <si>
    <t>LEGUIZAMON OSCAR AURELIO</t>
  </si>
  <si>
    <t>0110158030015800174733</t>
  </si>
  <si>
    <t>ARAMBURU GUILLERMO OSCAR</t>
  </si>
  <si>
    <t>0110466430046692396183</t>
  </si>
  <si>
    <t>NAVARRO SEGUNDA SEBASTIANA</t>
  </si>
  <si>
    <t>0110466430046610678933</t>
  </si>
  <si>
    <t>OVIEDO ALEXIS FERNANDO</t>
  </si>
  <si>
    <t>0110466430046694669133</t>
  </si>
  <si>
    <t>ARCE SONIA BEATRIZ</t>
  </si>
  <si>
    <t>0110466430046672078883</t>
  </si>
  <si>
    <t>ZUÑIGA RAQUEL MARGARITA</t>
  </si>
  <si>
    <t>0110466430046685086147</t>
  </si>
  <si>
    <t>FLORES GUILLERMO HUMBERTO</t>
  </si>
  <si>
    <t>0110466430046680896965</t>
  </si>
  <si>
    <t>SIGAMPA JOSE SILVANO</t>
  </si>
  <si>
    <t>0110466430046672657415</t>
  </si>
  <si>
    <t>REALES YANIL ELIZABETH</t>
  </si>
  <si>
    <t>0110115330011503675683</t>
  </si>
  <si>
    <t>BENITEZ SILVIA INES</t>
  </si>
  <si>
    <t>0110466430046612631929</t>
  </si>
  <si>
    <t>ARROYO PATRICIA DEL VALLE</t>
  </si>
  <si>
    <t>0110466430046614525747</t>
  </si>
  <si>
    <t>CALVIMONTE VEGA MARIA BELEN</t>
  </si>
  <si>
    <t>0110704530070401952551</t>
  </si>
  <si>
    <t>ARCE CARLOS JAVIER</t>
  </si>
  <si>
    <t>0110466430046672362229</t>
  </si>
  <si>
    <t>CABRAL EDGAR OMAR</t>
  </si>
  <si>
    <t>0110466430046681477479</t>
  </si>
  <si>
    <t>TORRES NORA ANTONIA</t>
  </si>
  <si>
    <t>0110705230070500192797</t>
  </si>
  <si>
    <t>SOTOMAYOR RODOLFO OMAR</t>
  </si>
  <si>
    <t>0110466430046608811779</t>
  </si>
  <si>
    <t>SECAFF RENZO LUIS</t>
  </si>
  <si>
    <t>0110740330074000796015</t>
  </si>
  <si>
    <t>SALCEDO RENE LEANDRO</t>
  </si>
  <si>
    <t>0110466430046613765715</t>
  </si>
  <si>
    <t>LEGUIZAMON VICTOR HUGO</t>
  </si>
  <si>
    <t>0110466430046672160915</t>
  </si>
  <si>
    <t>LOPEZ ARGENTINA DEL VALLE</t>
  </si>
  <si>
    <t>0110706930070604276883</t>
  </si>
  <si>
    <t>NIÑO EDGAR HECTOR</t>
  </si>
  <si>
    <t>0110466430046685242183</t>
  </si>
  <si>
    <t>GOMEZ PABLO</t>
  </si>
  <si>
    <t>0110466430046615876783</t>
  </si>
  <si>
    <t>MEDINA ANA ILSE</t>
  </si>
  <si>
    <t>0110466430046686902965</t>
  </si>
  <si>
    <t>MORALES ALEJANDRA DEL CARMEN</t>
  </si>
  <si>
    <t>0110466430046671986615</t>
  </si>
  <si>
    <t>ROMERO NORA EDITH</t>
  </si>
  <si>
    <t>0110466430046688702983</t>
  </si>
  <si>
    <t>CORDOBA MARIA DEL CARMEN</t>
  </si>
  <si>
    <t>0110466430046672784201</t>
  </si>
  <si>
    <t>PEREA LILIANA DEL VALLE</t>
  </si>
  <si>
    <t>0110466430046673237551</t>
  </si>
  <si>
    <t>SIGAMPA GABRIEL ANTONIO</t>
  </si>
  <si>
    <t>0110706930070602272029</t>
  </si>
  <si>
    <t>BARRIONUEVO DOMINGO CESAR</t>
  </si>
  <si>
    <t>0110466430046699859933</t>
  </si>
  <si>
    <t>CHALHOUB YESICA CAROLINA</t>
  </si>
  <si>
    <t>0110706930070605415283</t>
  </si>
  <si>
    <t>CEBALLOS FABIAN ANDRES</t>
  </si>
  <si>
    <t>FERREYRA IVAN GONZALO</t>
  </si>
  <si>
    <t>0110466430046602880915</t>
  </si>
  <si>
    <t>MEDINA ELSA DEL CARMEN</t>
  </si>
  <si>
    <t>0110740330074000532983</t>
  </si>
  <si>
    <t>GOMEZ CLAUDIA LORENA</t>
  </si>
  <si>
    <t>0110466430046684481851</t>
  </si>
  <si>
    <t>FIGUEROA MACARENA DEOLINDA</t>
  </si>
  <si>
    <t>0110466430046612629533</t>
  </si>
  <si>
    <t>CASTRO SILVERIA ARGENTINA</t>
  </si>
  <si>
    <t>0110466430046689986283</t>
  </si>
  <si>
    <t>TULA AMIRA VIVIANA</t>
  </si>
  <si>
    <t>0110740330074003362101</t>
  </si>
  <si>
    <t>MONJE FELIPE DIEGO</t>
  </si>
  <si>
    <t>0110466430046672179197</t>
  </si>
  <si>
    <t>ARAGON VERONICA MARIA RUTH</t>
  </si>
  <si>
    <t>0110466430046685398565</t>
  </si>
  <si>
    <t>0110705230070503342779</t>
  </si>
  <si>
    <t>URIARTE MARIA HORTENCIA</t>
  </si>
  <si>
    <t>0110466430046602186129</t>
  </si>
  <si>
    <t>NAVARRO MARIA NELIDA</t>
  </si>
  <si>
    <t>0110706930070603969447</t>
  </si>
  <si>
    <t>TABOADA JOSE ANTONIO</t>
  </si>
  <si>
    <t>0110704530070401804333</t>
  </si>
  <si>
    <t>MANSILLA ROSA ELENA</t>
  </si>
  <si>
    <t>PEREZ ANGEL GUSTAVO</t>
  </si>
  <si>
    <t>0110466430046685978879</t>
  </si>
  <si>
    <t>HERRERA ANGEL MARCOS</t>
  </si>
  <si>
    <t>0110466430046612601483</t>
  </si>
  <si>
    <t>BARRIENTOS RAMON ANTONIO</t>
  </si>
  <si>
    <t>0110740330074004585501</t>
  </si>
  <si>
    <t>YAPURA MONICA FAVIOLA</t>
  </si>
  <si>
    <t>0110158030015803216133</t>
  </si>
  <si>
    <t>AROCA MARCOS DEL JESUS</t>
  </si>
  <si>
    <t>SALVATIERRA RAMON GABRIEL</t>
  </si>
  <si>
    <t>0110706930070605184101</t>
  </si>
  <si>
    <t>VEGA JULIO ENRIQUE</t>
  </si>
  <si>
    <t>0110740330074003227433</t>
  </si>
  <si>
    <t>BELIDO YESICA MARICEL</t>
  </si>
  <si>
    <t>FUENTE JUANA MERCEDES</t>
  </si>
  <si>
    <t>0110706930070605771615</t>
  </si>
  <si>
    <t>RIOS OSVALDO</t>
  </si>
  <si>
    <t>0110466430046685610601</t>
  </si>
  <si>
    <t>TOLEDO INES ANGELICA</t>
  </si>
  <si>
    <t>0110115330011502931733</t>
  </si>
  <si>
    <t>0110466430046671968251</t>
  </si>
  <si>
    <t>RAMIREZ CALLAFA JESSICA ANHI</t>
  </si>
  <si>
    <t>0110466430046693728615</t>
  </si>
  <si>
    <t>PEREYRA NAVARRO MABEL DEL VALLE</t>
  </si>
  <si>
    <t>0110466430046680702547</t>
  </si>
  <si>
    <t>GALINDEZ CLAUDIA RAQUEL</t>
  </si>
  <si>
    <t>0110466430046612645847</t>
  </si>
  <si>
    <t>PEREA ANSINELLI VANESA MIRTA</t>
  </si>
  <si>
    <t>0110466430046692444851</t>
  </si>
  <si>
    <t>LOPEZ GRACIELA EDITH</t>
  </si>
  <si>
    <t>0110466430046618903033</t>
  </si>
  <si>
    <t>PALACIOS MARIA EUGENIA</t>
  </si>
  <si>
    <t>0110706930070602442501</t>
  </si>
  <si>
    <t>MARIN JUAN CARLOS</t>
  </si>
  <si>
    <t>0110740330074003004629</t>
  </si>
  <si>
    <t>CABRERA SONIA RAQUEL</t>
  </si>
  <si>
    <t>0110466430046685063115</t>
  </si>
  <si>
    <t>LEIVA CARLOS DANIEL</t>
  </si>
  <si>
    <t>0110740330074000869797</t>
  </si>
  <si>
    <t>DIAZ AZUCENA DEL VALLE</t>
  </si>
  <si>
    <t>0110466430046690631765</t>
  </si>
  <si>
    <t>ACOSTA LEONARDO MARCOS EMANUEL</t>
  </si>
  <si>
    <t>0110466430046692502483</t>
  </si>
  <si>
    <t>RIOS MERCEDES DEL CARMEN</t>
  </si>
  <si>
    <t>0110158030015802304233</t>
  </si>
  <si>
    <t>ACOSTA MARIA JOSE</t>
  </si>
  <si>
    <t>0110466430046691823947</t>
  </si>
  <si>
    <t>REMENTERIA FRANCISCO JAVIER</t>
  </si>
  <si>
    <t>0110703830070302902301</t>
  </si>
  <si>
    <t>CARRIZO HECTOR RAUL</t>
  </si>
  <si>
    <t>0110466430046673279179</t>
  </si>
  <si>
    <t>TORANZO JUAN MANUEL</t>
  </si>
  <si>
    <t>0110740330074003993765</t>
  </si>
  <si>
    <t>MORENO MONICA BEATRIZ</t>
  </si>
  <si>
    <t>NIEVA SARA VIRGINIA DEL VALLE</t>
  </si>
  <si>
    <t>VILLAVICENCIA MARIO ATILIO</t>
  </si>
  <si>
    <t>ROMERO GABRIEL OSCAR</t>
  </si>
  <si>
    <t>0110158030015805139647</t>
  </si>
  <si>
    <t>QUIROGA GUSTAVO NICOLAS</t>
  </si>
  <si>
    <t>0110466430046600182365</t>
  </si>
  <si>
    <t>TANACS MARIA MARGARITA</t>
  </si>
  <si>
    <t>0110706930070604595029</t>
  </si>
  <si>
    <t>HERRERA DANIEL RICARDO</t>
  </si>
  <si>
    <t>0110466430046612637897</t>
  </si>
  <si>
    <t>REARTE ANTONIO MARTIN</t>
  </si>
  <si>
    <t>0110706930070603332465</t>
  </si>
  <si>
    <t>VARGAS MARIA ALEJANDRA</t>
  </si>
  <si>
    <t>0110466430046673581733</t>
  </si>
  <si>
    <t>CARRIZO SORIA MARIO JAVIER</t>
  </si>
  <si>
    <t>0110466430046693027101</t>
  </si>
  <si>
    <t>TAPIA ELVIRA ROSA</t>
  </si>
  <si>
    <t>0110704530070401724529</t>
  </si>
  <si>
    <t>GALVAN MERCEDES IRENE</t>
  </si>
  <si>
    <t>0110706930070601674529</t>
  </si>
  <si>
    <t>CHAPARRO CECILIA NOEMI</t>
  </si>
  <si>
    <t>0110710630071001451051</t>
  </si>
  <si>
    <t>VAQUEZ ALBA INES</t>
  </si>
  <si>
    <t>TALON GUILLERMO ANDRES</t>
  </si>
  <si>
    <t>0110466430046689717001</t>
  </si>
  <si>
    <t>PEREYRA NAVARRO MONICA ANDREA</t>
  </si>
  <si>
    <t>0110466430046672506847</t>
  </si>
  <si>
    <t>GUTIERREZ JOSE ALEJANDRO</t>
  </si>
  <si>
    <t>0110158030015800235883</t>
  </si>
  <si>
    <t>HERRERA WALTER ALEJANDRO</t>
  </si>
  <si>
    <t>0110466430046612619501</t>
  </si>
  <si>
    <t>ROJAS LUIS DARIO</t>
  </si>
  <si>
    <t>0110466430046615378333</t>
  </si>
  <si>
    <t>RODRIGUEZ FANCISCO DANIEL</t>
  </si>
  <si>
    <t>LOPEZ MARTA ISABEL</t>
  </si>
  <si>
    <t>0110704530070401794151</t>
  </si>
  <si>
    <t>BAZAN ALEJANDRA NOEMI</t>
  </si>
  <si>
    <t>0110466430046684815779</t>
  </si>
  <si>
    <t>PLAZA ROMERO MARIA CATALINA</t>
  </si>
  <si>
    <t>0110466430046601712529</t>
  </si>
  <si>
    <t>RUIZ ELIDA DEL VALLE</t>
  </si>
  <si>
    <t>0110466430046672612997</t>
  </si>
  <si>
    <t>PUCHET EDITH ROXANA</t>
  </si>
  <si>
    <t>0110466430046689037547</t>
  </si>
  <si>
    <t>FIGUEROA FLORENCIA EMILSE</t>
  </si>
  <si>
    <t>0110466430046693908297</t>
  </si>
  <si>
    <t>ZINCH NELIDA ROSANA</t>
  </si>
  <si>
    <t>0110466430046689392297</t>
  </si>
  <si>
    <t>CRISTALDO ANA GABRIELA</t>
  </si>
  <si>
    <t>0110466430046686901597</t>
  </si>
  <si>
    <t>CARRIZO SERGIO RAUL</t>
  </si>
  <si>
    <t>0110710630071001897983</t>
  </si>
  <si>
    <t>RAMIREZ IRMA DEL CARMEN</t>
  </si>
  <si>
    <t>0110115330011500266079</t>
  </si>
  <si>
    <t>AVELLANEDA MARCELA FERNANDO</t>
  </si>
  <si>
    <t>0110466430046672386797</t>
  </si>
  <si>
    <t>AVELLANEDA SILVIA ISOLINA</t>
  </si>
  <si>
    <t>0110158030015802999833</t>
  </si>
  <si>
    <t>RODRIGUEZ CARINA DEL VALLE</t>
  </si>
  <si>
    <t>0110466430046690459347</t>
  </si>
  <si>
    <t>REINOSO ADRIAN ALBERTO</t>
  </si>
  <si>
    <t>0110466430046616279215</t>
  </si>
  <si>
    <t>AREDES GLADYS DEL VALLE</t>
  </si>
  <si>
    <t>0110466430046690132015</t>
  </si>
  <si>
    <t>CONTRERAS ERLINDA NORA</t>
  </si>
  <si>
    <t>0110466430046611626429</t>
  </si>
  <si>
    <t>BERTORELLO ALESANDRO DANIEL</t>
  </si>
  <si>
    <t>0110466430046698643429</t>
  </si>
  <si>
    <t>CALDERON EDGAR MARTIN</t>
  </si>
  <si>
    <t>0110710630071002524947</t>
  </si>
  <si>
    <t>BASUALDO SILVIA ESTER</t>
  </si>
  <si>
    <t>0110705230070501982715</t>
  </si>
  <si>
    <t>AHUMADA RAMONA ELIZABETH</t>
  </si>
  <si>
    <t>0110466430046611176733</t>
  </si>
  <si>
    <t>SILVA MARIO ORLANDO</t>
  </si>
  <si>
    <t>0110466430046612592501</t>
  </si>
  <si>
    <t>SUAREZ MIRTHA MEFALDA</t>
  </si>
  <si>
    <t>0110740330074003872879</t>
  </si>
  <si>
    <t>VARON ALEJANDRO ENRIQUE</t>
  </si>
  <si>
    <t>0110466430046602291979</t>
  </si>
  <si>
    <t>ROMERO YANINA ANABEL</t>
  </si>
  <si>
    <t>0110466430046600722897</t>
  </si>
  <si>
    <t>VERON LUIS RICARDO</t>
  </si>
  <si>
    <t>0110706930070608240147</t>
  </si>
  <si>
    <t>NIEVA ANALIA DEL VALLE</t>
  </si>
  <si>
    <t>ARAMAYO MIGUEL ANGEL</t>
  </si>
  <si>
    <t>0110466430046615872415</t>
  </si>
  <si>
    <t>AREDEZ MARCELA FABIANA</t>
  </si>
  <si>
    <t>0110466430046608001383</t>
  </si>
  <si>
    <t>RODRIGUEZ WALTER OSCAR</t>
  </si>
  <si>
    <t>0110466430046684689347</t>
  </si>
  <si>
    <t>GOMEZ VILLAGRA SILVIA ANDREA</t>
  </si>
  <si>
    <t>0110466430046690613783</t>
  </si>
  <si>
    <t>CARRIZO FERNANDO JOAQUIN</t>
  </si>
  <si>
    <t>0110466430046689975951</t>
  </si>
  <si>
    <t>CARO MARIELA INES</t>
  </si>
  <si>
    <t>0110706930070603332533</t>
  </si>
  <si>
    <t>DIAZ ALEJANDRA JUDITH</t>
  </si>
  <si>
    <t>0110466430046601135979</t>
  </si>
  <si>
    <t>TOMASSI LAURA EVANGELINA</t>
  </si>
  <si>
    <t>0110466430046617776333</t>
  </si>
  <si>
    <t>ACESOL ENRIQUETA DEL CARMEN</t>
  </si>
  <si>
    <t>ONTIVERO ROSA ELENA</t>
  </si>
  <si>
    <t>0110466430046692865533</t>
  </si>
  <si>
    <t>BARRIONUEVO CARINA DEL VALLE</t>
  </si>
  <si>
    <t>0110466430046689491765</t>
  </si>
  <si>
    <t>ESPECHE GLADYS BALVINA</t>
  </si>
  <si>
    <t>0110466430046619216347</t>
  </si>
  <si>
    <t>ROMERO JOSE PATRICIO</t>
  </si>
  <si>
    <t>0110740330074003845783</t>
  </si>
  <si>
    <t>YARADE ZULIMA MERCEDES</t>
  </si>
  <si>
    <t>0110705230070505639747</t>
  </si>
  <si>
    <t>YAPURA MARIO EDGARDO</t>
  </si>
  <si>
    <t>0110158030015806118429</t>
  </si>
  <si>
    <t>BORDON MARIA JUANA</t>
  </si>
  <si>
    <t>NIEVA JOSE ISAURO</t>
  </si>
  <si>
    <t>0110466430046615872347</t>
  </si>
  <si>
    <t>CARDOZO HORACIO DEMETRIO</t>
  </si>
  <si>
    <t>0110740330074003894983</t>
  </si>
  <si>
    <t>ACOSTA SANTILLAN HIPOLITO</t>
  </si>
  <si>
    <t>0110466430046610958383</t>
  </si>
  <si>
    <t>SECAFF ALEXIS GERMAN</t>
  </si>
  <si>
    <t>0110466430046614196565</t>
  </si>
  <si>
    <t>TAPIA MARIA ALEJANDRA</t>
  </si>
  <si>
    <t>0110466430046680446351</t>
  </si>
  <si>
    <t>SOSA LAURA GUMERCINDA SOLEDAD</t>
  </si>
  <si>
    <t>0110466430046692416533</t>
  </si>
  <si>
    <t>NAVARRO JENIFER MICAELA</t>
  </si>
  <si>
    <t>0110466430046693134179</t>
  </si>
  <si>
    <t>ESEGOVIA PETRONA ISOLINA</t>
  </si>
  <si>
    <t>0110466430046619059629</t>
  </si>
  <si>
    <t>ARAGON DUVEAUX GONZALO DAVID</t>
  </si>
  <si>
    <t>0110466430046611673029</t>
  </si>
  <si>
    <t>CARRIZO MERCELA DEL VALLE</t>
  </si>
  <si>
    <t>ALVAREZ CARLOS DANIEL</t>
  </si>
  <si>
    <t>0110493030049312154879</t>
  </si>
  <si>
    <t>BARRIONUEVO MARIA DEL SOL</t>
  </si>
  <si>
    <t>0110466430046679924479</t>
  </si>
  <si>
    <t>ZARATE ALEJADRO NOEMI</t>
  </si>
  <si>
    <t>0110466430046673193329</t>
  </si>
  <si>
    <t>CEREZO MARIA MICOL</t>
  </si>
  <si>
    <t>0110466430046620325733</t>
  </si>
  <si>
    <t>FLORES JORGE DANIEL</t>
  </si>
  <si>
    <t>0110466430046685705251</t>
  </si>
  <si>
    <t>VALDEZ JOSE ALBERTO</t>
  </si>
  <si>
    <t>0110466430046672714815</t>
  </si>
  <si>
    <t xml:space="preserve">HERRERA MARIA ALEJANDRA </t>
  </si>
  <si>
    <t>011046630046673448351</t>
  </si>
  <si>
    <t>CENTENO PEDRO LIBERATO</t>
  </si>
  <si>
    <t>0110466430046672279033</t>
  </si>
  <si>
    <t>BELLIDO ANALIA</t>
  </si>
  <si>
    <t>0110710630071002106479</t>
  </si>
  <si>
    <t>LUNA DANIEL HORACIO</t>
  </si>
  <si>
    <t>0110466430046684869479</t>
  </si>
  <si>
    <t>FERREYRA JUAN CARLOS</t>
  </si>
  <si>
    <t>0110466430046684814301</t>
  </si>
  <si>
    <t>PAZ HUGO JAVIER</t>
  </si>
  <si>
    <t>0110466430046688150683</t>
  </si>
  <si>
    <t>CARMONA ANA EDITH</t>
  </si>
  <si>
    <t>0110466430046611807851</t>
  </si>
  <si>
    <t>VAQUEL ROSA CRISTINA</t>
  </si>
  <si>
    <t>GALVAN GISELLA ANAHI</t>
  </si>
  <si>
    <t>LOPEZ GAFFET ANA MATILDE</t>
  </si>
  <si>
    <t>MOLINA MYRIAM EDITH</t>
  </si>
  <si>
    <t>MERCADO RAMONA CARMEN</t>
  </si>
  <si>
    <t>BAZAN ROQUE ARTURO</t>
  </si>
  <si>
    <t>0110740330074003177547</t>
  </si>
  <si>
    <t>0110466430046619843565</t>
  </si>
  <si>
    <t>0110466430046680701483</t>
  </si>
  <si>
    <t>0110740330074004497983</t>
  </si>
  <si>
    <t>0110466430046614822947</t>
  </si>
  <si>
    <t>0110466430046684325751</t>
  </si>
  <si>
    <t>GUTIERREZ FRANCO SEBASTIAN</t>
  </si>
  <si>
    <t>0110466430046619162497</t>
  </si>
  <si>
    <t>RAMIREZ RAMON LUIS</t>
  </si>
  <si>
    <t>0110466430046617213333</t>
  </si>
  <si>
    <t>PEREIRA LUIS OMAR</t>
  </si>
  <si>
    <t>0110158030015808363179</t>
  </si>
  <si>
    <t>LOPEZ RODRIGUEZ CARINA ALEJANDRA</t>
  </si>
  <si>
    <t>0110466430046684940897</t>
  </si>
  <si>
    <t>LEGUIZAMON ALCIRA ROSA</t>
  </si>
  <si>
    <t>0110466430046619530465</t>
  </si>
  <si>
    <t>RODRIGUEZ ANA MARIA DEL VALLE</t>
  </si>
  <si>
    <t>0110706930070608093765</t>
  </si>
  <si>
    <t>MARTINEZ ARIEL ENRIQUE</t>
  </si>
  <si>
    <t>0110466430046688595215</t>
  </si>
  <si>
    <t>RODRIGUEZ WILSON MACIEL</t>
  </si>
  <si>
    <t>0110466430046687886615</t>
  </si>
  <si>
    <t>AGÜERO NOELIA DEL VALLE</t>
  </si>
  <si>
    <t>0110466430046619162879</t>
  </si>
  <si>
    <t>ESCALANTE SANTOS ISABEL</t>
  </si>
  <si>
    <t>0110158030015803458779</t>
  </si>
  <si>
    <t>SECO EUGENIA CONSTANZA</t>
  </si>
  <si>
    <t>0110466430046690800015</t>
  </si>
  <si>
    <t>GUZMAN ROMINA ELIZABETH</t>
  </si>
  <si>
    <t>0110466430046613997329</t>
  </si>
  <si>
    <t>DIAZ MARTIN ALBERTO</t>
  </si>
  <si>
    <t>0110466430046672822015</t>
  </si>
  <si>
    <t>SORIA CLAUDIA JOSEFA</t>
  </si>
  <si>
    <t>FERREYRA SALCEDO CRISTIAN EMANUEL</t>
  </si>
  <si>
    <t>0110705230070506439629</t>
  </si>
  <si>
    <t>MOREIRA FERNANDO</t>
  </si>
  <si>
    <t>0110466430046685039851</t>
  </si>
  <si>
    <t>SALOMON NADIA DANISA</t>
  </si>
  <si>
    <t>0110466430046616345651</t>
  </si>
  <si>
    <t>QUINTEROS JOSE MARCELO</t>
  </si>
  <si>
    <t>0110466430046699721397</t>
  </si>
  <si>
    <t>ROBLEDO JOAQUIN SILVANO</t>
  </si>
  <si>
    <t>0110466430046685403179</t>
  </si>
  <si>
    <t>MONTENEGRO ANDRES ANGEL</t>
  </si>
  <si>
    <t>0110466430046688710797</t>
  </si>
  <si>
    <t>HERNANDES MARIA GUADALUPE DEL MILAGRO</t>
  </si>
  <si>
    <t>0110466430046613224447</t>
  </si>
  <si>
    <t>SEGURA CHRISTIAN RAMIRO RENE</t>
  </si>
  <si>
    <t>0110466430046681473101</t>
  </si>
  <si>
    <t>CARRIZO ANDREA SOLEDAD</t>
  </si>
  <si>
    <t>0110466430046680725951</t>
  </si>
  <si>
    <t>15-4-226</t>
  </si>
  <si>
    <t>VELIZ MARTIN AMADEO</t>
  </si>
  <si>
    <t>0110466430046680708897</t>
  </si>
  <si>
    <t>CANO FRANCISCO DAVID</t>
  </si>
  <si>
    <t>0110466430046685607779</t>
  </si>
  <si>
    <t>LEIVA VILDOZA KARINA ROSANA</t>
  </si>
  <si>
    <t>0110466430046687744847</t>
  </si>
  <si>
    <t>GARAY MARISSA ELIZABETH</t>
  </si>
  <si>
    <t>0110115330011503663983</t>
  </si>
  <si>
    <t>BRANDAN JESSICA VALERIA</t>
  </si>
  <si>
    <t>0110466430046609553715</t>
  </si>
  <si>
    <t>OLMOS MOYA MERCEDES NOEMI</t>
  </si>
  <si>
    <t>0110466430046673115983</t>
  </si>
  <si>
    <t>PEDRAZA FELIX NESTOR ALEJANDRO</t>
  </si>
  <si>
    <t>0110466430046694223683</t>
  </si>
  <si>
    <t>ZAFFE IVAN MARCELO</t>
  </si>
  <si>
    <t>0110466430046600318315</t>
  </si>
  <si>
    <t xml:space="preserve">CARRIZO JOSE LUIS </t>
  </si>
  <si>
    <t>ACOSTA, LEONARDO MARCOS EMANUEL</t>
  </si>
  <si>
    <t>GUEVARA MARCELA JUANA</t>
  </si>
  <si>
    <t>0110466430046673434297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</si>
</sst>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&quot;$&quot;\ #,##0.00"/>
    <numFmt numFmtId="170" formatCode="dd\-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6E7B8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/>
    <xf numFmtId="165" fontId="0" fillId="0" borderId="0" xfId="0" applyNumberFormat="1" applyFill="1" applyBorder="1"/>
    <xf numFmtId="0" fontId="0" fillId="0" borderId="0" xfId="0" applyFont="1"/>
    <xf numFmtId="49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1" applyNumberFormat="1" applyFont="1" applyFill="1" applyBorder="1"/>
    <xf numFmtId="0" fontId="0" fillId="0" borderId="0" xfId="0" applyFill="1"/>
    <xf numFmtId="165" fontId="0" fillId="0" borderId="0" xfId="0" applyNumberFormat="1"/>
    <xf numFmtId="0" fontId="0" fillId="0" borderId="0" xfId="0" applyFill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165" fontId="0" fillId="0" borderId="0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70" fontId="0" fillId="0" borderId="0" xfId="0" applyNumberFormat="1" applyAlignment="1">
      <alignment horizontal="center"/>
    </xf>
    <xf numFmtId="17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/>
    <xf numFmtId="49" fontId="0" fillId="0" borderId="0" xfId="0" applyNumberFormat="1" applyFill="1"/>
    <xf numFmtId="6" fontId="0" fillId="0" borderId="0" xfId="0" applyNumberFormat="1" applyFill="1"/>
    <xf numFmtId="17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3" fillId="0" borderId="0" xfId="0" applyNumberFormat="1" applyFont="1" applyFill="1" applyBorder="1"/>
    <xf numFmtId="165" fontId="0" fillId="0" borderId="0" xfId="1" applyNumberFormat="1" applyFont="1" applyFill="1" applyBorder="1" applyAlignment="1">
      <alignment horizontal="right"/>
    </xf>
    <xf numFmtId="49" fontId="0" fillId="0" borderId="0" xfId="0" applyNumberFormat="1" applyFont="1" applyFill="1" applyBorder="1"/>
    <xf numFmtId="164" fontId="0" fillId="0" borderId="0" xfId="0" applyNumberFormat="1" applyFont="1" applyFill="1" applyBorder="1" applyAlignment="1"/>
    <xf numFmtId="165" fontId="0" fillId="0" borderId="0" xfId="2" applyNumberFormat="1" applyFont="1" applyFill="1" applyBorder="1"/>
    <xf numFmtId="170" fontId="0" fillId="0" borderId="0" xfId="0" applyNumberFormat="1" applyFill="1" applyAlignment="1">
      <alignment horizontal="center"/>
    </xf>
    <xf numFmtId="165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ont="1" applyFill="1"/>
    <xf numFmtId="165" fontId="0" fillId="0" borderId="0" xfId="0" applyNumberFormat="1" applyFill="1" applyAlignment="1">
      <alignment horizontal="right"/>
    </xf>
    <xf numFmtId="0" fontId="0" fillId="0" borderId="2" xfId="0" applyFill="1" applyBorder="1" applyAlignment="1">
      <alignment horizontal="center"/>
    </xf>
    <xf numFmtId="165" fontId="0" fillId="0" borderId="2" xfId="0" applyNumberFormat="1" applyFill="1" applyBorder="1"/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9"/>
  <sheetViews>
    <sheetView tabSelected="1" topLeftCell="A497" workbookViewId="0">
      <selection activeCell="B521" sqref="B521"/>
    </sheetView>
  </sheetViews>
  <sheetFormatPr baseColWidth="10" defaultRowHeight="15" x14ac:dyDescent="0.25"/>
  <cols>
    <col min="1" max="1" width="33.42578125" style="15" bestFit="1" customWidth="1"/>
    <col min="2" max="2" width="66.28515625" bestFit="1" customWidth="1"/>
    <col min="3" max="3" width="15.7109375" style="14" customWidth="1"/>
    <col min="4" max="4" width="23.28515625" style="3" bestFit="1" customWidth="1"/>
    <col min="5" max="5" width="27.7109375" style="12" customWidth="1"/>
    <col min="6" max="6" width="20.85546875" style="11" bestFit="1" customWidth="1"/>
    <col min="7" max="7" width="20.28515625" style="12" bestFit="1" customWidth="1"/>
    <col min="8" max="8" width="17.7109375" style="9" bestFit="1" customWidth="1"/>
  </cols>
  <sheetData>
    <row r="1" spans="1:8" s="1" customFormat="1" ht="5.0999999999999996" customHeight="1" x14ac:dyDescent="0.25">
      <c r="A1" s="15"/>
      <c r="C1" s="14"/>
      <c r="D1" s="3"/>
      <c r="E1" s="12"/>
      <c r="F1" s="11"/>
      <c r="G1" s="12"/>
      <c r="H1" s="9"/>
    </row>
    <row r="2" spans="1:8" s="25" customFormat="1" x14ac:dyDescent="0.25">
      <c r="A2" s="21" t="s">
        <v>36</v>
      </c>
      <c r="B2" s="22" t="s">
        <v>0</v>
      </c>
      <c r="C2" s="22" t="s">
        <v>1</v>
      </c>
      <c r="D2" s="23" t="s">
        <v>2</v>
      </c>
      <c r="E2" s="24" t="s">
        <v>3</v>
      </c>
      <c r="F2" s="22" t="s">
        <v>16</v>
      </c>
      <c r="G2" s="24" t="s">
        <v>17</v>
      </c>
      <c r="H2" s="24" t="s">
        <v>37</v>
      </c>
    </row>
    <row r="3" spans="1:8" s="8" customFormat="1" x14ac:dyDescent="0.25">
      <c r="A3" s="16">
        <v>45656</v>
      </c>
      <c r="B3" s="10" t="s">
        <v>4</v>
      </c>
      <c r="C3" s="17">
        <v>27326814704</v>
      </c>
      <c r="D3" s="26" t="s">
        <v>5</v>
      </c>
      <c r="E3" s="13">
        <v>100000</v>
      </c>
      <c r="F3" s="5">
        <v>12</v>
      </c>
      <c r="G3" s="27">
        <v>45000</v>
      </c>
      <c r="H3" s="7">
        <f t="shared" ref="H3:H9" si="0">F3*G3</f>
        <v>540000</v>
      </c>
    </row>
    <row r="4" spans="1:8" s="8" customFormat="1" x14ac:dyDescent="0.25">
      <c r="A4" s="16">
        <v>45656</v>
      </c>
      <c r="B4" s="10" t="s">
        <v>6</v>
      </c>
      <c r="C4" s="17">
        <v>20213249275</v>
      </c>
      <c r="D4" s="26" t="s">
        <v>7</v>
      </c>
      <c r="E4" s="13">
        <v>100000</v>
      </c>
      <c r="F4" s="5">
        <v>12</v>
      </c>
      <c r="G4" s="27">
        <v>45000</v>
      </c>
      <c r="H4" s="7">
        <f t="shared" si="0"/>
        <v>540000</v>
      </c>
    </row>
    <row r="5" spans="1:8" s="8" customFormat="1" x14ac:dyDescent="0.25">
      <c r="A5" s="16">
        <v>45664</v>
      </c>
      <c r="B5" s="10" t="s">
        <v>8</v>
      </c>
      <c r="C5" s="17">
        <v>27231501121</v>
      </c>
      <c r="D5" s="26" t="s">
        <v>9</v>
      </c>
      <c r="E5" s="13">
        <v>100000</v>
      </c>
      <c r="F5" s="5">
        <v>12</v>
      </c>
      <c r="G5" s="27">
        <v>45000</v>
      </c>
      <c r="H5" s="7">
        <f t="shared" si="0"/>
        <v>540000</v>
      </c>
    </row>
    <row r="6" spans="1:8" s="8" customFormat="1" x14ac:dyDescent="0.25">
      <c r="A6" s="16">
        <v>45664</v>
      </c>
      <c r="B6" s="10" t="s">
        <v>10</v>
      </c>
      <c r="C6" s="17">
        <v>24257534231</v>
      </c>
      <c r="D6" s="26" t="s">
        <v>11</v>
      </c>
      <c r="E6" s="13">
        <v>200000</v>
      </c>
      <c r="F6" s="5">
        <v>12</v>
      </c>
      <c r="G6" s="27">
        <v>90000</v>
      </c>
      <c r="H6" s="7">
        <f t="shared" si="0"/>
        <v>1080000</v>
      </c>
    </row>
    <row r="7" spans="1:8" s="8" customFormat="1" x14ac:dyDescent="0.25">
      <c r="A7" s="16">
        <v>45664</v>
      </c>
      <c r="B7" s="10" t="s">
        <v>12</v>
      </c>
      <c r="C7" s="17">
        <v>20349934796</v>
      </c>
      <c r="D7" s="28" t="s">
        <v>13</v>
      </c>
      <c r="E7" s="13">
        <v>400000</v>
      </c>
      <c r="F7" s="5">
        <v>12</v>
      </c>
      <c r="G7" s="27">
        <v>180000</v>
      </c>
      <c r="H7" s="7">
        <f t="shared" si="0"/>
        <v>2160000</v>
      </c>
    </row>
    <row r="8" spans="1:8" s="8" customFormat="1" x14ac:dyDescent="0.25">
      <c r="A8" s="16">
        <v>45665</v>
      </c>
      <c r="B8" s="10" t="s">
        <v>14</v>
      </c>
      <c r="C8" s="17">
        <v>23286474039</v>
      </c>
      <c r="D8" s="26" t="s">
        <v>15</v>
      </c>
      <c r="E8" s="13">
        <v>100000</v>
      </c>
      <c r="F8" s="5">
        <v>12</v>
      </c>
      <c r="G8" s="27">
        <v>45000</v>
      </c>
      <c r="H8" s="7">
        <f t="shared" si="0"/>
        <v>540000</v>
      </c>
    </row>
    <row r="9" spans="1:8" s="8" customFormat="1" x14ac:dyDescent="0.25">
      <c r="A9" s="16">
        <v>45666</v>
      </c>
      <c r="B9" s="10" t="s">
        <v>18</v>
      </c>
      <c r="C9" s="17">
        <v>27353912815</v>
      </c>
      <c r="D9" s="28" t="s">
        <v>19</v>
      </c>
      <c r="E9" s="13">
        <v>200000</v>
      </c>
      <c r="F9" s="5">
        <v>12</v>
      </c>
      <c r="G9" s="27">
        <v>90000</v>
      </c>
      <c r="H9" s="7">
        <f t="shared" si="0"/>
        <v>1080000</v>
      </c>
    </row>
    <row r="10" spans="1:8" s="8" customFormat="1" x14ac:dyDescent="0.25">
      <c r="A10" s="16">
        <v>45667</v>
      </c>
      <c r="B10" s="10" t="s">
        <v>20</v>
      </c>
      <c r="C10" s="17">
        <v>27236781254</v>
      </c>
      <c r="D10" s="28" t="s">
        <v>21</v>
      </c>
      <c r="E10" s="13">
        <v>100000</v>
      </c>
      <c r="F10" s="5">
        <v>12</v>
      </c>
      <c r="G10" s="27">
        <v>45000</v>
      </c>
      <c r="H10" s="7">
        <f t="shared" ref="H10:H23" si="1">F10*G10</f>
        <v>540000</v>
      </c>
    </row>
    <row r="11" spans="1:8" s="8" customFormat="1" x14ac:dyDescent="0.25">
      <c r="A11" s="16">
        <v>45667</v>
      </c>
      <c r="B11" s="10" t="s">
        <v>22</v>
      </c>
      <c r="C11" s="17">
        <v>27286471663</v>
      </c>
      <c r="D11" s="28" t="s">
        <v>23</v>
      </c>
      <c r="E11" s="13">
        <v>200000</v>
      </c>
      <c r="F11" s="5">
        <v>12</v>
      </c>
      <c r="G11" s="27">
        <v>90000</v>
      </c>
      <c r="H11" s="7">
        <f t="shared" si="1"/>
        <v>1080000</v>
      </c>
    </row>
    <row r="12" spans="1:8" s="8" customFormat="1" x14ac:dyDescent="0.25">
      <c r="A12" s="16">
        <v>45670</v>
      </c>
      <c r="B12" s="10" t="s">
        <v>24</v>
      </c>
      <c r="C12" s="17">
        <v>27227407447</v>
      </c>
      <c r="D12" s="28" t="s">
        <v>25</v>
      </c>
      <c r="E12" s="13">
        <v>500000</v>
      </c>
      <c r="F12" s="5">
        <v>12</v>
      </c>
      <c r="G12" s="27">
        <v>235000</v>
      </c>
      <c r="H12" s="7">
        <f t="shared" si="1"/>
        <v>2820000</v>
      </c>
    </row>
    <row r="13" spans="1:8" s="8" customFormat="1" x14ac:dyDescent="0.25">
      <c r="A13" s="16">
        <v>45671</v>
      </c>
      <c r="B13" s="10" t="s">
        <v>26</v>
      </c>
      <c r="C13" s="17">
        <v>27363475928</v>
      </c>
      <c r="D13" s="28" t="s">
        <v>27</v>
      </c>
      <c r="E13" s="13">
        <v>100000</v>
      </c>
      <c r="F13" s="5">
        <v>12</v>
      </c>
      <c r="G13" s="27">
        <v>45000</v>
      </c>
      <c r="H13" s="7">
        <f t="shared" si="1"/>
        <v>540000</v>
      </c>
    </row>
    <row r="14" spans="1:8" s="8" customFormat="1" x14ac:dyDescent="0.25">
      <c r="A14" s="16">
        <v>45671</v>
      </c>
      <c r="B14" s="10" t="s">
        <v>28</v>
      </c>
      <c r="C14" s="17">
        <v>24302071248</v>
      </c>
      <c r="D14" s="28" t="s">
        <v>29</v>
      </c>
      <c r="E14" s="13">
        <v>300000</v>
      </c>
      <c r="F14" s="5">
        <v>12</v>
      </c>
      <c r="G14" s="27">
        <v>135000</v>
      </c>
      <c r="H14" s="7">
        <f t="shared" si="1"/>
        <v>1620000</v>
      </c>
    </row>
    <row r="15" spans="1:8" s="8" customFormat="1" x14ac:dyDescent="0.25">
      <c r="A15" s="16">
        <v>45671</v>
      </c>
      <c r="B15" s="10" t="s">
        <v>30</v>
      </c>
      <c r="C15" s="17">
        <v>27412644854</v>
      </c>
      <c r="D15" s="28" t="s">
        <v>31</v>
      </c>
      <c r="E15" s="13">
        <v>100000</v>
      </c>
      <c r="F15" s="5">
        <v>12</v>
      </c>
      <c r="G15" s="27">
        <v>45000</v>
      </c>
      <c r="H15" s="7">
        <f t="shared" si="1"/>
        <v>540000</v>
      </c>
    </row>
    <row r="16" spans="1:8" s="8" customFormat="1" x14ac:dyDescent="0.25">
      <c r="A16" s="16">
        <v>45671</v>
      </c>
      <c r="B16" s="10" t="s">
        <v>32</v>
      </c>
      <c r="C16" s="17">
        <v>20206600935</v>
      </c>
      <c r="D16" s="28" t="s">
        <v>33</v>
      </c>
      <c r="E16" s="13">
        <v>100000</v>
      </c>
      <c r="F16" s="5">
        <v>12</v>
      </c>
      <c r="G16" s="27">
        <v>45000</v>
      </c>
      <c r="H16" s="7">
        <f t="shared" si="1"/>
        <v>540000</v>
      </c>
    </row>
    <row r="17" spans="1:8" s="8" customFormat="1" x14ac:dyDescent="0.25">
      <c r="A17" s="16">
        <v>45673</v>
      </c>
      <c r="B17" s="10" t="s">
        <v>34</v>
      </c>
      <c r="C17" s="17">
        <v>20147658681</v>
      </c>
      <c r="D17" s="28" t="s">
        <v>35</v>
      </c>
      <c r="E17" s="13">
        <v>100000</v>
      </c>
      <c r="F17" s="5">
        <v>12</v>
      </c>
      <c r="G17" s="27">
        <v>45000</v>
      </c>
      <c r="H17" s="7">
        <f t="shared" si="1"/>
        <v>540000</v>
      </c>
    </row>
    <row r="18" spans="1:8" s="8" customFormat="1" x14ac:dyDescent="0.25">
      <c r="A18" s="16">
        <v>45674</v>
      </c>
      <c r="B18" s="10" t="s">
        <v>38</v>
      </c>
      <c r="C18" s="17">
        <v>20216257031</v>
      </c>
      <c r="D18" s="28" t="s">
        <v>39</v>
      </c>
      <c r="E18" s="13">
        <v>100000</v>
      </c>
      <c r="F18" s="5">
        <v>12</v>
      </c>
      <c r="G18" s="27">
        <v>45000</v>
      </c>
      <c r="H18" s="7">
        <f t="shared" si="1"/>
        <v>540000</v>
      </c>
    </row>
    <row r="19" spans="1:8" s="8" customFormat="1" x14ac:dyDescent="0.25">
      <c r="A19" s="16">
        <v>45674</v>
      </c>
      <c r="B19" s="10" t="s">
        <v>40</v>
      </c>
      <c r="C19" s="17">
        <v>20205887920</v>
      </c>
      <c r="D19" s="28" t="s">
        <v>41</v>
      </c>
      <c r="E19" s="13">
        <v>200000</v>
      </c>
      <c r="F19" s="5">
        <v>12</v>
      </c>
      <c r="G19" s="27">
        <v>90000</v>
      </c>
      <c r="H19" s="7">
        <f t="shared" si="1"/>
        <v>1080000</v>
      </c>
    </row>
    <row r="20" spans="1:8" s="8" customFormat="1" x14ac:dyDescent="0.25">
      <c r="A20" s="16">
        <v>45674</v>
      </c>
      <c r="B20" s="10" t="s">
        <v>42</v>
      </c>
      <c r="C20" s="17">
        <v>27225884809</v>
      </c>
      <c r="D20" s="28" t="s">
        <v>43</v>
      </c>
      <c r="E20" s="13">
        <v>300000</v>
      </c>
      <c r="F20" s="5">
        <v>12</v>
      </c>
      <c r="G20" s="27">
        <v>135000</v>
      </c>
      <c r="H20" s="7">
        <f t="shared" si="1"/>
        <v>1620000</v>
      </c>
    </row>
    <row r="21" spans="1:8" s="8" customFormat="1" x14ac:dyDescent="0.25">
      <c r="A21" s="16">
        <v>45674</v>
      </c>
      <c r="B21" s="10" t="s">
        <v>44</v>
      </c>
      <c r="C21" s="17">
        <v>27169345401</v>
      </c>
      <c r="D21" s="28" t="s">
        <v>45</v>
      </c>
      <c r="E21" s="13">
        <v>200000</v>
      </c>
      <c r="F21" s="5">
        <v>12</v>
      </c>
      <c r="G21" s="27">
        <v>90000</v>
      </c>
      <c r="H21" s="7">
        <f t="shared" si="1"/>
        <v>1080000</v>
      </c>
    </row>
    <row r="22" spans="1:8" s="8" customFormat="1" x14ac:dyDescent="0.25">
      <c r="A22" s="16">
        <v>45681</v>
      </c>
      <c r="B22" s="10" t="s">
        <v>46</v>
      </c>
      <c r="C22" s="17">
        <v>27251178696</v>
      </c>
      <c r="D22" s="28" t="s">
        <v>47</v>
      </c>
      <c r="E22" s="13">
        <v>300000</v>
      </c>
      <c r="F22" s="5">
        <v>12</v>
      </c>
      <c r="G22" s="27">
        <v>135000</v>
      </c>
      <c r="H22" s="7">
        <f t="shared" si="1"/>
        <v>1620000</v>
      </c>
    </row>
    <row r="23" spans="1:8" s="8" customFormat="1" x14ac:dyDescent="0.25">
      <c r="A23" s="16">
        <v>45684</v>
      </c>
      <c r="B23" s="10" t="s">
        <v>48</v>
      </c>
      <c r="C23" s="17">
        <v>20430487842</v>
      </c>
      <c r="D23" s="28" t="s">
        <v>49</v>
      </c>
      <c r="E23" s="13">
        <v>100000</v>
      </c>
      <c r="F23" s="5">
        <v>12</v>
      </c>
      <c r="G23" s="27">
        <v>45000</v>
      </c>
      <c r="H23" s="7">
        <f t="shared" si="1"/>
        <v>540000</v>
      </c>
    </row>
    <row r="24" spans="1:8" s="8" customFormat="1" x14ac:dyDescent="0.25">
      <c r="A24" s="16">
        <v>45688</v>
      </c>
      <c r="B24" s="10" t="s">
        <v>50</v>
      </c>
      <c r="C24" s="17">
        <v>20137073014</v>
      </c>
      <c r="D24" s="28" t="s">
        <v>51</v>
      </c>
      <c r="E24" s="13">
        <v>500000</v>
      </c>
      <c r="F24" s="5">
        <v>12</v>
      </c>
      <c r="G24" s="27">
        <v>225000</v>
      </c>
      <c r="H24" s="7">
        <f t="shared" ref="H24:H36" si="2">F24*G24</f>
        <v>2700000</v>
      </c>
    </row>
    <row r="25" spans="1:8" s="8" customFormat="1" x14ac:dyDescent="0.25">
      <c r="A25" s="16">
        <v>45693</v>
      </c>
      <c r="B25" s="10" t="s">
        <v>52</v>
      </c>
      <c r="C25" s="17">
        <v>20118373813</v>
      </c>
      <c r="D25" s="28" t="s">
        <v>53</v>
      </c>
      <c r="E25" s="13">
        <v>100000</v>
      </c>
      <c r="F25" s="5">
        <v>12</v>
      </c>
      <c r="G25" s="27">
        <v>45000</v>
      </c>
      <c r="H25" s="7">
        <f t="shared" si="2"/>
        <v>540000</v>
      </c>
    </row>
    <row r="26" spans="1:8" s="8" customFormat="1" x14ac:dyDescent="0.25">
      <c r="A26" s="16">
        <v>45693</v>
      </c>
      <c r="B26" s="10" t="s">
        <v>54</v>
      </c>
      <c r="C26" s="17">
        <v>27213253587</v>
      </c>
      <c r="D26" s="28" t="s">
        <v>55</v>
      </c>
      <c r="E26" s="13">
        <v>200000</v>
      </c>
      <c r="F26" s="5">
        <v>12</v>
      </c>
      <c r="G26" s="27">
        <v>90000</v>
      </c>
      <c r="H26" s="7">
        <f t="shared" si="2"/>
        <v>1080000</v>
      </c>
    </row>
    <row r="27" spans="1:8" s="8" customFormat="1" x14ac:dyDescent="0.25">
      <c r="A27" s="16">
        <v>45694</v>
      </c>
      <c r="B27" s="10" t="s">
        <v>56</v>
      </c>
      <c r="C27" s="17">
        <v>27322822079</v>
      </c>
      <c r="D27" s="28" t="s">
        <v>57</v>
      </c>
      <c r="E27" s="13">
        <v>100000</v>
      </c>
      <c r="F27" s="5">
        <v>12</v>
      </c>
      <c r="G27" s="27">
        <v>45000</v>
      </c>
      <c r="H27" s="7">
        <f t="shared" si="2"/>
        <v>540000</v>
      </c>
    </row>
    <row r="28" spans="1:8" s="8" customFormat="1" x14ac:dyDescent="0.25">
      <c r="A28" s="16">
        <v>45695</v>
      </c>
      <c r="B28" s="10" t="s">
        <v>58</v>
      </c>
      <c r="C28" s="17">
        <v>20216582803</v>
      </c>
      <c r="D28" s="28" t="s">
        <v>59</v>
      </c>
      <c r="E28" s="13">
        <v>500000</v>
      </c>
      <c r="F28" s="5">
        <v>12</v>
      </c>
      <c r="G28" s="27">
        <v>225000</v>
      </c>
      <c r="H28" s="7">
        <f t="shared" si="2"/>
        <v>2700000</v>
      </c>
    </row>
    <row r="29" spans="1:8" s="8" customFormat="1" x14ac:dyDescent="0.25">
      <c r="A29" s="16">
        <v>45698</v>
      </c>
      <c r="B29" s="10" t="s">
        <v>60</v>
      </c>
      <c r="C29" s="17">
        <v>27216824895</v>
      </c>
      <c r="D29" s="28" t="s">
        <v>61</v>
      </c>
      <c r="E29" s="13">
        <v>400000</v>
      </c>
      <c r="F29" s="5">
        <v>12</v>
      </c>
      <c r="G29" s="27">
        <v>180000</v>
      </c>
      <c r="H29" s="7">
        <f t="shared" si="2"/>
        <v>2160000</v>
      </c>
    </row>
    <row r="30" spans="1:8" s="8" customFormat="1" x14ac:dyDescent="0.25">
      <c r="A30" s="16">
        <v>45698</v>
      </c>
      <c r="B30" s="10" t="s">
        <v>62</v>
      </c>
      <c r="C30" s="17">
        <v>27288858972</v>
      </c>
      <c r="D30" s="28" t="s">
        <v>63</v>
      </c>
      <c r="E30" s="13">
        <v>200000</v>
      </c>
      <c r="F30" s="5">
        <v>12</v>
      </c>
      <c r="G30" s="27">
        <v>90000</v>
      </c>
      <c r="H30" s="7">
        <f t="shared" si="2"/>
        <v>1080000</v>
      </c>
    </row>
    <row r="31" spans="1:8" s="8" customFormat="1" x14ac:dyDescent="0.25">
      <c r="A31" s="16">
        <v>45698</v>
      </c>
      <c r="B31" s="10" t="s">
        <v>64</v>
      </c>
      <c r="C31" s="17">
        <v>27216398772</v>
      </c>
      <c r="D31" s="28" t="s">
        <v>65</v>
      </c>
      <c r="E31" s="13">
        <v>400000</v>
      </c>
      <c r="F31" s="5">
        <v>12</v>
      </c>
      <c r="G31" s="27">
        <v>180000</v>
      </c>
      <c r="H31" s="7">
        <f t="shared" si="2"/>
        <v>2160000</v>
      </c>
    </row>
    <row r="32" spans="1:8" s="8" customFormat="1" x14ac:dyDescent="0.25">
      <c r="A32" s="16">
        <v>45699</v>
      </c>
      <c r="B32" s="10" t="s">
        <v>66</v>
      </c>
      <c r="C32" s="17">
        <v>20233090868</v>
      </c>
      <c r="D32" s="28" t="s">
        <v>67</v>
      </c>
      <c r="E32" s="13">
        <v>500000</v>
      </c>
      <c r="F32" s="5">
        <v>12</v>
      </c>
      <c r="G32" s="27">
        <v>225000</v>
      </c>
      <c r="H32" s="7">
        <f t="shared" si="2"/>
        <v>2700000</v>
      </c>
    </row>
    <row r="33" spans="1:8" s="8" customFormat="1" x14ac:dyDescent="0.25">
      <c r="A33" s="16">
        <v>45699</v>
      </c>
      <c r="B33" s="10" t="s">
        <v>68</v>
      </c>
      <c r="C33" s="17">
        <v>20213256786</v>
      </c>
      <c r="D33" s="28" t="s">
        <v>69</v>
      </c>
      <c r="E33" s="13">
        <v>200000</v>
      </c>
      <c r="F33" s="5">
        <v>12</v>
      </c>
      <c r="G33" s="27">
        <v>90000</v>
      </c>
      <c r="H33" s="7">
        <f t="shared" si="2"/>
        <v>1080000</v>
      </c>
    </row>
    <row r="34" spans="1:8" s="8" customFormat="1" x14ac:dyDescent="0.25">
      <c r="A34" s="16">
        <v>45700</v>
      </c>
      <c r="B34" s="10" t="s">
        <v>70</v>
      </c>
      <c r="C34" s="17">
        <v>23233096164</v>
      </c>
      <c r="D34" s="28" t="s">
        <v>71</v>
      </c>
      <c r="E34" s="13">
        <v>500000</v>
      </c>
      <c r="F34" s="5">
        <v>12</v>
      </c>
      <c r="G34" s="27">
        <v>225000</v>
      </c>
      <c r="H34" s="7">
        <f t="shared" si="2"/>
        <v>2700000</v>
      </c>
    </row>
    <row r="35" spans="1:8" s="8" customFormat="1" x14ac:dyDescent="0.25">
      <c r="A35" s="16">
        <v>45700</v>
      </c>
      <c r="B35" s="10" t="s">
        <v>72</v>
      </c>
      <c r="C35" s="17">
        <v>20111012998</v>
      </c>
      <c r="D35" s="28" t="s">
        <v>73</v>
      </c>
      <c r="E35" s="13">
        <v>100000</v>
      </c>
      <c r="F35" s="5">
        <v>12</v>
      </c>
      <c r="G35" s="27">
        <v>45000</v>
      </c>
      <c r="H35" s="7">
        <f t="shared" si="2"/>
        <v>540000</v>
      </c>
    </row>
    <row r="36" spans="1:8" s="8" customFormat="1" x14ac:dyDescent="0.25">
      <c r="A36" s="16">
        <v>45700</v>
      </c>
      <c r="B36" s="10" t="s">
        <v>74</v>
      </c>
      <c r="C36" s="17">
        <v>20177795993</v>
      </c>
      <c r="D36" s="28" t="s">
        <v>75</v>
      </c>
      <c r="E36" s="13">
        <v>200000</v>
      </c>
      <c r="F36" s="5">
        <v>12</v>
      </c>
      <c r="G36" s="27">
        <v>90000</v>
      </c>
      <c r="H36" s="7">
        <f t="shared" si="2"/>
        <v>1080000</v>
      </c>
    </row>
    <row r="37" spans="1:8" s="8" customFormat="1" x14ac:dyDescent="0.25">
      <c r="A37" s="16">
        <v>45701</v>
      </c>
      <c r="B37" s="10" t="s">
        <v>76</v>
      </c>
      <c r="C37" s="17">
        <v>23183721259</v>
      </c>
      <c r="D37" s="28" t="s">
        <v>77</v>
      </c>
      <c r="E37" s="13">
        <v>1000000</v>
      </c>
      <c r="F37" s="5">
        <v>12</v>
      </c>
      <c r="G37" s="27">
        <v>450000</v>
      </c>
      <c r="H37" s="7">
        <f t="shared" ref="H37:H45" si="3">F37*G37</f>
        <v>5400000</v>
      </c>
    </row>
    <row r="38" spans="1:8" s="8" customFormat="1" x14ac:dyDescent="0.25">
      <c r="A38" s="16">
        <v>45701</v>
      </c>
      <c r="B38" s="10" t="s">
        <v>78</v>
      </c>
      <c r="C38" s="17">
        <v>27181586252</v>
      </c>
      <c r="D38" s="28" t="s">
        <v>79</v>
      </c>
      <c r="E38" s="13">
        <v>800000</v>
      </c>
      <c r="F38" s="5">
        <v>12</v>
      </c>
      <c r="G38" s="27">
        <v>360000</v>
      </c>
      <c r="H38" s="7">
        <f t="shared" si="3"/>
        <v>4320000</v>
      </c>
    </row>
    <row r="39" spans="1:8" s="8" customFormat="1" x14ac:dyDescent="0.25">
      <c r="A39" s="16">
        <v>45702</v>
      </c>
      <c r="B39" s="10" t="s">
        <v>80</v>
      </c>
      <c r="C39" s="17">
        <v>27302075153</v>
      </c>
      <c r="D39" s="28" t="s">
        <v>81</v>
      </c>
      <c r="E39" s="13">
        <v>100000</v>
      </c>
      <c r="F39" s="5">
        <v>12</v>
      </c>
      <c r="G39" s="27">
        <v>45000</v>
      </c>
      <c r="H39" s="7">
        <f t="shared" si="3"/>
        <v>540000</v>
      </c>
    </row>
    <row r="40" spans="1:8" s="8" customFormat="1" x14ac:dyDescent="0.25">
      <c r="A40" s="16">
        <v>45702</v>
      </c>
      <c r="B40" s="10" t="s">
        <v>82</v>
      </c>
      <c r="C40" s="17">
        <v>20264338043</v>
      </c>
      <c r="D40" s="28" t="s">
        <v>83</v>
      </c>
      <c r="E40" s="13">
        <v>100000</v>
      </c>
      <c r="F40" s="5">
        <v>12</v>
      </c>
      <c r="G40" s="27">
        <v>45000</v>
      </c>
      <c r="H40" s="7">
        <f t="shared" si="3"/>
        <v>540000</v>
      </c>
    </row>
    <row r="41" spans="1:8" s="8" customFormat="1" x14ac:dyDescent="0.25">
      <c r="A41" s="16">
        <v>45702</v>
      </c>
      <c r="B41" s="10" t="s">
        <v>84</v>
      </c>
      <c r="C41" s="17">
        <v>27057831672</v>
      </c>
      <c r="D41" s="28" t="s">
        <v>85</v>
      </c>
      <c r="E41" s="13">
        <v>300000</v>
      </c>
      <c r="F41" s="5">
        <v>12</v>
      </c>
      <c r="G41" s="27">
        <v>135000</v>
      </c>
      <c r="H41" s="7">
        <f t="shared" si="3"/>
        <v>1620000</v>
      </c>
    </row>
    <row r="42" spans="1:8" s="8" customFormat="1" x14ac:dyDescent="0.25">
      <c r="A42" s="16">
        <v>45702</v>
      </c>
      <c r="B42" s="10" t="s">
        <v>86</v>
      </c>
      <c r="C42" s="17">
        <v>27174106287</v>
      </c>
      <c r="D42" s="28" t="s">
        <v>87</v>
      </c>
      <c r="E42" s="13">
        <v>100000</v>
      </c>
      <c r="F42" s="5">
        <v>12</v>
      </c>
      <c r="G42" s="27">
        <v>45000</v>
      </c>
      <c r="H42" s="7">
        <f t="shared" si="3"/>
        <v>540000</v>
      </c>
    </row>
    <row r="43" spans="1:8" s="8" customFormat="1" x14ac:dyDescent="0.25">
      <c r="A43" s="16">
        <v>45702</v>
      </c>
      <c r="B43" s="10" t="s">
        <v>88</v>
      </c>
      <c r="C43" s="17">
        <v>27391893743</v>
      </c>
      <c r="D43" s="28" t="s">
        <v>89</v>
      </c>
      <c r="E43" s="13">
        <v>100000</v>
      </c>
      <c r="F43" s="5">
        <v>12</v>
      </c>
      <c r="G43" s="27">
        <v>45000</v>
      </c>
      <c r="H43" s="7">
        <f t="shared" si="3"/>
        <v>540000</v>
      </c>
    </row>
    <row r="44" spans="1:8" s="8" customFormat="1" x14ac:dyDescent="0.25">
      <c r="A44" s="16">
        <v>45702</v>
      </c>
      <c r="B44" s="10" t="s">
        <v>90</v>
      </c>
      <c r="C44" s="17">
        <v>20291709002</v>
      </c>
      <c r="D44" s="28" t="s">
        <v>91</v>
      </c>
      <c r="E44" s="13">
        <v>300000</v>
      </c>
      <c r="F44" s="5">
        <v>12</v>
      </c>
      <c r="G44" s="27">
        <v>135000</v>
      </c>
      <c r="H44" s="7">
        <f t="shared" si="3"/>
        <v>1620000</v>
      </c>
    </row>
    <row r="45" spans="1:8" s="8" customFormat="1" x14ac:dyDescent="0.25">
      <c r="A45" s="16">
        <v>45705</v>
      </c>
      <c r="B45" s="10" t="s">
        <v>92</v>
      </c>
      <c r="C45" s="17">
        <v>20140585646</v>
      </c>
      <c r="D45" s="28" t="s">
        <v>93</v>
      </c>
      <c r="E45" s="13">
        <v>800000</v>
      </c>
      <c r="F45" s="5">
        <v>12</v>
      </c>
      <c r="G45" s="27">
        <v>360000</v>
      </c>
      <c r="H45" s="7">
        <f t="shared" si="3"/>
        <v>4320000</v>
      </c>
    </row>
    <row r="46" spans="1:8" s="8" customFormat="1" x14ac:dyDescent="0.25">
      <c r="A46" s="16">
        <v>45709</v>
      </c>
      <c r="B46" s="18" t="s">
        <v>94</v>
      </c>
      <c r="C46" s="17">
        <v>27281032696</v>
      </c>
      <c r="D46" s="28" t="s">
        <v>95</v>
      </c>
      <c r="E46" s="13">
        <v>400000</v>
      </c>
      <c r="F46" s="5">
        <v>12</v>
      </c>
      <c r="G46" s="13">
        <v>182000</v>
      </c>
      <c r="H46" s="7">
        <f>F46*G46</f>
        <v>2184000</v>
      </c>
    </row>
    <row r="47" spans="1:8" s="8" customFormat="1" x14ac:dyDescent="0.25">
      <c r="A47" s="16">
        <v>45714</v>
      </c>
      <c r="B47" s="18" t="s">
        <v>96</v>
      </c>
      <c r="C47" s="17">
        <v>20127967807</v>
      </c>
      <c r="D47" s="28" t="s">
        <v>100</v>
      </c>
      <c r="E47" s="13">
        <v>600000</v>
      </c>
      <c r="F47" s="5">
        <v>12</v>
      </c>
      <c r="G47" s="13">
        <v>270000</v>
      </c>
      <c r="H47" s="7">
        <f>F47*G47</f>
        <v>3240000</v>
      </c>
    </row>
    <row r="48" spans="1:8" s="8" customFormat="1" x14ac:dyDescent="0.25">
      <c r="A48" s="16">
        <v>45716</v>
      </c>
      <c r="B48" s="18" t="s">
        <v>97</v>
      </c>
      <c r="C48" s="17">
        <v>20234111125</v>
      </c>
      <c r="D48" s="28" t="s">
        <v>103</v>
      </c>
      <c r="E48" s="13">
        <v>300000</v>
      </c>
      <c r="F48" s="5">
        <v>12</v>
      </c>
      <c r="G48" s="13">
        <v>135000</v>
      </c>
      <c r="H48" s="7">
        <f>F48*G48</f>
        <v>1620000</v>
      </c>
    </row>
    <row r="49" spans="1:8" s="8" customFormat="1" x14ac:dyDescent="0.25">
      <c r="A49" s="16">
        <v>45716</v>
      </c>
      <c r="B49" s="18" t="s">
        <v>98</v>
      </c>
      <c r="C49" s="17">
        <v>27240390545</v>
      </c>
      <c r="D49" s="28" t="s">
        <v>101</v>
      </c>
      <c r="E49" s="13">
        <v>300000</v>
      </c>
      <c r="F49" s="5">
        <v>12</v>
      </c>
      <c r="G49" s="13">
        <v>135000</v>
      </c>
      <c r="H49" s="7">
        <f>F49*G49</f>
        <v>1620000</v>
      </c>
    </row>
    <row r="50" spans="1:8" s="8" customFormat="1" x14ac:dyDescent="0.25">
      <c r="A50" s="16">
        <v>45716</v>
      </c>
      <c r="B50" s="29" t="s">
        <v>99</v>
      </c>
      <c r="C50" s="17">
        <v>23136041924</v>
      </c>
      <c r="D50" s="28" t="s">
        <v>102</v>
      </c>
      <c r="E50" s="13">
        <v>100000</v>
      </c>
      <c r="F50" s="5">
        <v>12</v>
      </c>
      <c r="G50" s="13">
        <v>45000</v>
      </c>
      <c r="H50" s="7">
        <f>F50*G50</f>
        <v>540000</v>
      </c>
    </row>
    <row r="51" spans="1:8" s="8" customFormat="1" x14ac:dyDescent="0.25">
      <c r="A51" s="16">
        <v>45723</v>
      </c>
      <c r="B51" s="10" t="s">
        <v>104</v>
      </c>
      <c r="C51" s="17">
        <v>20167586431</v>
      </c>
      <c r="D51" s="28" t="s">
        <v>105</v>
      </c>
      <c r="E51" s="13">
        <v>300000</v>
      </c>
      <c r="F51" s="5">
        <v>12</v>
      </c>
      <c r="G51" s="13">
        <v>135000</v>
      </c>
      <c r="H51" s="7">
        <f t="shared" ref="H51:H79" si="4">F51*G51</f>
        <v>1620000</v>
      </c>
    </row>
    <row r="52" spans="1:8" s="8" customFormat="1" x14ac:dyDescent="0.25">
      <c r="A52" s="16">
        <v>45728</v>
      </c>
      <c r="B52" s="10" t="s">
        <v>106</v>
      </c>
      <c r="C52" s="17">
        <v>23374827804</v>
      </c>
      <c r="D52" s="28" t="s">
        <v>107</v>
      </c>
      <c r="E52" s="13">
        <v>300000</v>
      </c>
      <c r="F52" s="5">
        <v>12</v>
      </c>
      <c r="G52" s="13">
        <v>135000</v>
      </c>
      <c r="H52" s="7">
        <f t="shared" si="4"/>
        <v>1620000</v>
      </c>
    </row>
    <row r="53" spans="1:8" s="8" customFormat="1" x14ac:dyDescent="0.25">
      <c r="A53" s="16">
        <v>45730</v>
      </c>
      <c r="B53" s="10" t="s">
        <v>108</v>
      </c>
      <c r="C53" s="17">
        <v>23292597339</v>
      </c>
      <c r="D53" s="28" t="s">
        <v>109</v>
      </c>
      <c r="E53" s="13">
        <v>300000</v>
      </c>
      <c r="F53" s="5">
        <v>12</v>
      </c>
      <c r="G53" s="13">
        <v>114000</v>
      </c>
      <c r="H53" s="7">
        <f t="shared" si="4"/>
        <v>1368000</v>
      </c>
    </row>
    <row r="54" spans="1:8" s="8" customFormat="1" x14ac:dyDescent="0.25">
      <c r="A54" s="16">
        <v>45730</v>
      </c>
      <c r="B54" s="10" t="s">
        <v>110</v>
      </c>
      <c r="C54" s="17">
        <v>20332969847</v>
      </c>
      <c r="D54" s="28" t="s">
        <v>111</v>
      </c>
      <c r="E54" s="13">
        <v>400000</v>
      </c>
      <c r="F54" s="5">
        <v>12</v>
      </c>
      <c r="G54" s="13">
        <v>152000</v>
      </c>
      <c r="H54" s="7">
        <f t="shared" si="4"/>
        <v>1824000</v>
      </c>
    </row>
    <row r="55" spans="1:8" s="8" customFormat="1" x14ac:dyDescent="0.25">
      <c r="A55" s="16">
        <v>45730</v>
      </c>
      <c r="B55" s="10" t="s">
        <v>112</v>
      </c>
      <c r="C55" s="17">
        <v>20298380502</v>
      </c>
      <c r="D55" s="28" t="s">
        <v>113</v>
      </c>
      <c r="E55" s="13">
        <v>200000</v>
      </c>
      <c r="F55" s="5">
        <v>12</v>
      </c>
      <c r="G55" s="13">
        <v>76000</v>
      </c>
      <c r="H55" s="7">
        <f t="shared" si="4"/>
        <v>912000</v>
      </c>
    </row>
    <row r="56" spans="1:8" s="8" customFormat="1" x14ac:dyDescent="0.25">
      <c r="A56" s="16">
        <v>45730</v>
      </c>
      <c r="B56" s="10" t="s">
        <v>114</v>
      </c>
      <c r="C56" s="17">
        <v>20314507194</v>
      </c>
      <c r="D56" s="28" t="s">
        <v>115</v>
      </c>
      <c r="E56" s="13">
        <v>100000</v>
      </c>
      <c r="F56" s="5">
        <v>12</v>
      </c>
      <c r="G56" s="13">
        <v>38000</v>
      </c>
      <c r="H56" s="7">
        <f t="shared" si="4"/>
        <v>456000</v>
      </c>
    </row>
    <row r="57" spans="1:8" s="8" customFormat="1" x14ac:dyDescent="0.25">
      <c r="A57" s="16">
        <v>45733</v>
      </c>
      <c r="B57" s="10" t="s">
        <v>116</v>
      </c>
      <c r="C57" s="17">
        <v>20205951963</v>
      </c>
      <c r="D57" s="28" t="s">
        <v>117</v>
      </c>
      <c r="E57" s="13">
        <v>600000</v>
      </c>
      <c r="F57" s="5">
        <v>12</v>
      </c>
      <c r="G57" s="13">
        <v>228000</v>
      </c>
      <c r="H57" s="7">
        <f t="shared" si="4"/>
        <v>2736000</v>
      </c>
    </row>
    <row r="58" spans="1:8" s="8" customFormat="1" x14ac:dyDescent="0.25">
      <c r="A58" s="16">
        <v>45733</v>
      </c>
      <c r="B58" s="10" t="s">
        <v>118</v>
      </c>
      <c r="C58" s="17">
        <v>27120041482</v>
      </c>
      <c r="D58" s="28" t="s">
        <v>119</v>
      </c>
      <c r="E58" s="13">
        <v>200000</v>
      </c>
      <c r="F58" s="5">
        <v>12</v>
      </c>
      <c r="G58" s="13">
        <v>76000</v>
      </c>
      <c r="H58" s="7">
        <f t="shared" si="4"/>
        <v>912000</v>
      </c>
    </row>
    <row r="59" spans="1:8" s="8" customFormat="1" x14ac:dyDescent="0.25">
      <c r="A59" s="16">
        <v>45733</v>
      </c>
      <c r="B59" s="10" t="s">
        <v>120</v>
      </c>
      <c r="C59" s="17">
        <v>27178904154</v>
      </c>
      <c r="D59" s="28" t="s">
        <v>121</v>
      </c>
      <c r="E59" s="13">
        <v>600000</v>
      </c>
      <c r="F59" s="5">
        <v>12</v>
      </c>
      <c r="G59" s="13">
        <v>228000</v>
      </c>
      <c r="H59" s="7">
        <f t="shared" si="4"/>
        <v>2736000</v>
      </c>
    </row>
    <row r="60" spans="1:8" s="8" customFormat="1" x14ac:dyDescent="0.25">
      <c r="A60" s="16">
        <v>45735</v>
      </c>
      <c r="B60" s="10" t="s">
        <v>122</v>
      </c>
      <c r="C60" s="17">
        <v>27352487096</v>
      </c>
      <c r="D60" s="28" t="s">
        <v>123</v>
      </c>
      <c r="E60" s="13">
        <v>300000</v>
      </c>
      <c r="F60" s="5">
        <v>12</v>
      </c>
      <c r="G60" s="13">
        <v>114000</v>
      </c>
      <c r="H60" s="7">
        <f t="shared" si="4"/>
        <v>1368000</v>
      </c>
    </row>
    <row r="61" spans="1:8" s="8" customFormat="1" x14ac:dyDescent="0.25">
      <c r="A61" s="16">
        <v>45735</v>
      </c>
      <c r="B61" s="10" t="s">
        <v>124</v>
      </c>
      <c r="C61" s="17">
        <v>20200712944</v>
      </c>
      <c r="D61" s="28" t="s">
        <v>125</v>
      </c>
      <c r="E61" s="13">
        <v>200000</v>
      </c>
      <c r="F61" s="5">
        <v>12</v>
      </c>
      <c r="G61" s="13">
        <v>76000</v>
      </c>
      <c r="H61" s="7">
        <f t="shared" si="4"/>
        <v>912000</v>
      </c>
    </row>
    <row r="62" spans="1:8" s="8" customFormat="1" x14ac:dyDescent="0.25">
      <c r="A62" s="16">
        <v>45735</v>
      </c>
      <c r="B62" s="10" t="s">
        <v>126</v>
      </c>
      <c r="C62" s="17">
        <v>27287807339</v>
      </c>
      <c r="D62" s="28" t="s">
        <v>127</v>
      </c>
      <c r="E62" s="13">
        <v>200000</v>
      </c>
      <c r="F62" s="5">
        <v>12</v>
      </c>
      <c r="G62" s="13">
        <v>76000</v>
      </c>
      <c r="H62" s="7">
        <f t="shared" si="4"/>
        <v>912000</v>
      </c>
    </row>
    <row r="63" spans="1:8" s="8" customFormat="1" x14ac:dyDescent="0.25">
      <c r="A63" s="16">
        <v>45736</v>
      </c>
      <c r="B63" s="10" t="s">
        <v>128</v>
      </c>
      <c r="C63" s="17">
        <v>20279888627</v>
      </c>
      <c r="D63" s="28" t="s">
        <v>129</v>
      </c>
      <c r="E63" s="13">
        <v>300000</v>
      </c>
      <c r="F63" s="5">
        <v>12</v>
      </c>
      <c r="G63" s="13">
        <v>114000</v>
      </c>
      <c r="H63" s="7">
        <f t="shared" si="4"/>
        <v>1368000</v>
      </c>
    </row>
    <row r="64" spans="1:8" s="8" customFormat="1" x14ac:dyDescent="0.25">
      <c r="A64" s="16">
        <v>45737</v>
      </c>
      <c r="B64" s="10" t="s">
        <v>130</v>
      </c>
      <c r="C64" s="17">
        <v>20312310636</v>
      </c>
      <c r="D64" s="28" t="s">
        <v>131</v>
      </c>
      <c r="E64" s="13">
        <v>300000</v>
      </c>
      <c r="F64" s="5">
        <v>12</v>
      </c>
      <c r="G64" s="13">
        <v>114000</v>
      </c>
      <c r="H64" s="7">
        <f t="shared" si="4"/>
        <v>1368000</v>
      </c>
    </row>
    <row r="65" spans="1:8" s="8" customFormat="1" x14ac:dyDescent="0.25">
      <c r="A65" s="16">
        <v>45737</v>
      </c>
      <c r="B65" s="10" t="s">
        <v>132</v>
      </c>
      <c r="C65" s="17">
        <v>27284041386</v>
      </c>
      <c r="D65" s="28" t="s">
        <v>133</v>
      </c>
      <c r="E65" s="13">
        <v>300000</v>
      </c>
      <c r="F65" s="5">
        <v>12</v>
      </c>
      <c r="G65" s="13">
        <v>114000</v>
      </c>
      <c r="H65" s="7">
        <f t="shared" si="4"/>
        <v>1368000</v>
      </c>
    </row>
    <row r="66" spans="1:8" s="8" customFormat="1" x14ac:dyDescent="0.25">
      <c r="A66" s="16">
        <v>45741</v>
      </c>
      <c r="B66" s="10" t="s">
        <v>134</v>
      </c>
      <c r="C66" s="17">
        <v>27200721379</v>
      </c>
      <c r="D66" s="28" t="s">
        <v>135</v>
      </c>
      <c r="E66" s="13">
        <v>1000000</v>
      </c>
      <c r="F66" s="5">
        <v>12</v>
      </c>
      <c r="G66" s="13">
        <v>380000</v>
      </c>
      <c r="H66" s="7">
        <f t="shared" si="4"/>
        <v>4560000</v>
      </c>
    </row>
    <row r="67" spans="1:8" s="8" customFormat="1" x14ac:dyDescent="0.25">
      <c r="A67" s="16">
        <v>45744</v>
      </c>
      <c r="B67" s="10" t="s">
        <v>137</v>
      </c>
      <c r="C67" s="17">
        <v>27205888654</v>
      </c>
      <c r="D67" s="28" t="s">
        <v>136</v>
      </c>
      <c r="E67" s="13">
        <v>300000</v>
      </c>
      <c r="F67" s="5">
        <v>12</v>
      </c>
      <c r="G67" s="13">
        <v>114000</v>
      </c>
      <c r="H67" s="7">
        <f t="shared" si="4"/>
        <v>1368000</v>
      </c>
    </row>
    <row r="68" spans="1:8" s="8" customFormat="1" x14ac:dyDescent="0.25">
      <c r="A68" s="16">
        <v>45754</v>
      </c>
      <c r="B68" s="10" t="s">
        <v>138</v>
      </c>
      <c r="C68" s="17">
        <v>27341297295</v>
      </c>
      <c r="D68" s="28" t="s">
        <v>140</v>
      </c>
      <c r="E68" s="13">
        <v>200000</v>
      </c>
      <c r="F68" s="5">
        <v>12</v>
      </c>
      <c r="G68" s="13">
        <v>76000</v>
      </c>
      <c r="H68" s="7">
        <f t="shared" si="4"/>
        <v>912000</v>
      </c>
    </row>
    <row r="69" spans="1:8" s="8" customFormat="1" x14ac:dyDescent="0.25">
      <c r="A69" s="16">
        <v>45756</v>
      </c>
      <c r="B69" s="10" t="s">
        <v>139</v>
      </c>
      <c r="C69" s="17">
        <v>27125878704</v>
      </c>
      <c r="D69" s="28" t="s">
        <v>141</v>
      </c>
      <c r="E69" s="13">
        <v>300000</v>
      </c>
      <c r="F69" s="5">
        <v>12</v>
      </c>
      <c r="G69" s="13">
        <v>114000</v>
      </c>
      <c r="H69" s="7">
        <f t="shared" si="4"/>
        <v>1368000</v>
      </c>
    </row>
    <row r="70" spans="1:8" s="8" customFormat="1" x14ac:dyDescent="0.25">
      <c r="A70" s="16">
        <v>45758</v>
      </c>
      <c r="B70" s="10" t="s">
        <v>142</v>
      </c>
      <c r="C70" s="17">
        <v>20233899802</v>
      </c>
      <c r="D70" s="28" t="s">
        <v>143</v>
      </c>
      <c r="E70" s="13">
        <v>500000</v>
      </c>
      <c r="F70" s="5">
        <v>12</v>
      </c>
      <c r="G70" s="13">
        <v>190000</v>
      </c>
      <c r="H70" s="7">
        <f t="shared" si="4"/>
        <v>2280000</v>
      </c>
    </row>
    <row r="71" spans="1:8" s="8" customFormat="1" x14ac:dyDescent="0.25">
      <c r="A71" s="16">
        <v>45758</v>
      </c>
      <c r="B71" s="10" t="s">
        <v>144</v>
      </c>
      <c r="C71" s="17">
        <v>27353881855</v>
      </c>
      <c r="D71" s="28" t="s">
        <v>145</v>
      </c>
      <c r="E71" s="13">
        <v>400000</v>
      </c>
      <c r="F71" s="5">
        <v>12</v>
      </c>
      <c r="G71" s="13">
        <v>152000</v>
      </c>
      <c r="H71" s="7">
        <f t="shared" si="4"/>
        <v>1824000</v>
      </c>
    </row>
    <row r="72" spans="1:8" s="8" customFormat="1" x14ac:dyDescent="0.25">
      <c r="A72" s="16">
        <v>45758</v>
      </c>
      <c r="B72" s="10" t="s">
        <v>146</v>
      </c>
      <c r="C72" s="17">
        <v>27251179269</v>
      </c>
      <c r="D72" s="28" t="s">
        <v>147</v>
      </c>
      <c r="E72" s="13">
        <v>1000000</v>
      </c>
      <c r="F72" s="5">
        <v>12</v>
      </c>
      <c r="G72" s="13">
        <v>380000</v>
      </c>
      <c r="H72" s="7">
        <f t="shared" si="4"/>
        <v>4560000</v>
      </c>
    </row>
    <row r="73" spans="1:8" s="8" customFormat="1" x14ac:dyDescent="0.25">
      <c r="A73" s="16">
        <v>45761</v>
      </c>
      <c r="B73" s="10" t="s">
        <v>148</v>
      </c>
      <c r="C73" s="17">
        <v>20211518430</v>
      </c>
      <c r="D73" s="28" t="s">
        <v>149</v>
      </c>
      <c r="E73" s="13">
        <v>200000</v>
      </c>
      <c r="F73" s="5">
        <v>12</v>
      </c>
      <c r="G73" s="13">
        <v>76000</v>
      </c>
      <c r="H73" s="7">
        <f t="shared" si="4"/>
        <v>912000</v>
      </c>
    </row>
    <row r="74" spans="1:8" s="8" customFormat="1" x14ac:dyDescent="0.25">
      <c r="A74" s="16">
        <v>45762</v>
      </c>
      <c r="B74" s="10" t="s">
        <v>150</v>
      </c>
      <c r="C74" s="17">
        <v>27230951549</v>
      </c>
      <c r="D74" s="28" t="s">
        <v>151</v>
      </c>
      <c r="E74" s="13">
        <v>600000</v>
      </c>
      <c r="F74" s="5">
        <v>12</v>
      </c>
      <c r="G74" s="13">
        <v>228000</v>
      </c>
      <c r="H74" s="7">
        <f t="shared" si="4"/>
        <v>2736000</v>
      </c>
    </row>
    <row r="75" spans="1:8" s="8" customFormat="1" x14ac:dyDescent="0.25">
      <c r="A75" s="16">
        <v>45763</v>
      </c>
      <c r="B75" s="10" t="s">
        <v>152</v>
      </c>
      <c r="C75" s="17">
        <v>27253755879</v>
      </c>
      <c r="D75" s="28" t="s">
        <v>153</v>
      </c>
      <c r="E75" s="13">
        <v>300000</v>
      </c>
      <c r="F75" s="5">
        <v>12</v>
      </c>
      <c r="G75" s="13">
        <v>114000</v>
      </c>
      <c r="H75" s="7">
        <f t="shared" si="4"/>
        <v>1368000</v>
      </c>
    </row>
    <row r="76" spans="1:8" s="8" customFormat="1" x14ac:dyDescent="0.25">
      <c r="A76" s="16">
        <v>45763</v>
      </c>
      <c r="B76" s="10" t="s">
        <v>154</v>
      </c>
      <c r="C76" s="17">
        <v>27305046340</v>
      </c>
      <c r="D76" s="28" t="s">
        <v>155</v>
      </c>
      <c r="E76" s="13">
        <v>300000</v>
      </c>
      <c r="F76" s="5">
        <v>12</v>
      </c>
      <c r="G76" s="13">
        <v>114000</v>
      </c>
      <c r="H76" s="7">
        <f t="shared" si="4"/>
        <v>1368000</v>
      </c>
    </row>
    <row r="77" spans="1:8" s="8" customFormat="1" x14ac:dyDescent="0.25">
      <c r="A77" s="16">
        <v>45763</v>
      </c>
      <c r="B77" s="10" t="s">
        <v>156</v>
      </c>
      <c r="C77" s="17">
        <v>27337588560</v>
      </c>
      <c r="D77" s="28" t="s">
        <v>157</v>
      </c>
      <c r="E77" s="13">
        <v>200000</v>
      </c>
      <c r="F77" s="5">
        <v>12</v>
      </c>
      <c r="G77" s="13">
        <v>76000</v>
      </c>
      <c r="H77" s="7">
        <f t="shared" si="4"/>
        <v>912000</v>
      </c>
    </row>
    <row r="78" spans="1:8" s="8" customFormat="1" x14ac:dyDescent="0.25">
      <c r="A78" s="16">
        <v>45768</v>
      </c>
      <c r="B78" s="10" t="s">
        <v>158</v>
      </c>
      <c r="C78" s="17">
        <v>20227571096</v>
      </c>
      <c r="D78" s="28" t="s">
        <v>159</v>
      </c>
      <c r="E78" s="13">
        <v>200000</v>
      </c>
      <c r="F78" s="5">
        <v>12</v>
      </c>
      <c r="G78" s="13">
        <v>76000</v>
      </c>
      <c r="H78" s="7">
        <f t="shared" si="4"/>
        <v>912000</v>
      </c>
    </row>
    <row r="79" spans="1:8" s="8" customFormat="1" x14ac:dyDescent="0.25">
      <c r="A79" s="16">
        <v>45768</v>
      </c>
      <c r="B79" s="10" t="s">
        <v>160</v>
      </c>
      <c r="C79" s="17">
        <v>20275831248</v>
      </c>
      <c r="D79" s="28" t="s">
        <v>161</v>
      </c>
      <c r="E79" s="13">
        <v>1000000</v>
      </c>
      <c r="F79" s="5">
        <v>12</v>
      </c>
      <c r="G79" s="13">
        <v>380000</v>
      </c>
      <c r="H79" s="7">
        <f t="shared" si="4"/>
        <v>4560000</v>
      </c>
    </row>
    <row r="80" spans="1:8" s="8" customFormat="1" x14ac:dyDescent="0.25">
      <c r="A80" s="16">
        <v>45769</v>
      </c>
      <c r="B80" s="10" t="s">
        <v>162</v>
      </c>
      <c r="C80" s="17">
        <v>20333603811</v>
      </c>
      <c r="D80" s="28" t="s">
        <v>163</v>
      </c>
      <c r="E80" s="13">
        <v>200000</v>
      </c>
      <c r="F80" s="5">
        <v>12</v>
      </c>
      <c r="G80" s="13">
        <v>76000</v>
      </c>
      <c r="H80" s="7">
        <f t="shared" ref="H80:H125" si="5">F80*G80</f>
        <v>912000</v>
      </c>
    </row>
    <row r="81" spans="1:8" s="8" customFormat="1" x14ac:dyDescent="0.25">
      <c r="A81" s="16">
        <v>45770</v>
      </c>
      <c r="B81" s="10" t="s">
        <v>164</v>
      </c>
      <c r="C81" s="17">
        <v>20205887920</v>
      </c>
      <c r="D81" s="28" t="s">
        <v>41</v>
      </c>
      <c r="E81" s="13">
        <v>200000</v>
      </c>
      <c r="F81" s="5">
        <v>12</v>
      </c>
      <c r="G81" s="13">
        <v>76000</v>
      </c>
      <c r="H81" s="7">
        <f t="shared" si="5"/>
        <v>912000</v>
      </c>
    </row>
    <row r="82" spans="1:8" s="8" customFormat="1" x14ac:dyDescent="0.25">
      <c r="A82" s="16">
        <v>45771</v>
      </c>
      <c r="B82" s="10" t="s">
        <v>165</v>
      </c>
      <c r="C82" s="17">
        <v>27167590255</v>
      </c>
      <c r="D82" s="28" t="s">
        <v>166</v>
      </c>
      <c r="E82" s="13">
        <v>100000</v>
      </c>
      <c r="F82" s="5">
        <v>12</v>
      </c>
      <c r="G82" s="13">
        <v>38000</v>
      </c>
      <c r="H82" s="7">
        <f t="shared" si="5"/>
        <v>456000</v>
      </c>
    </row>
    <row r="83" spans="1:8" s="8" customFormat="1" x14ac:dyDescent="0.25">
      <c r="A83" s="16">
        <v>45771</v>
      </c>
      <c r="B83" s="10" t="s">
        <v>167</v>
      </c>
      <c r="C83" s="17">
        <v>20213251857</v>
      </c>
      <c r="D83" s="28" t="s">
        <v>168</v>
      </c>
      <c r="E83" s="13">
        <v>100000</v>
      </c>
      <c r="F83" s="5">
        <v>12</v>
      </c>
      <c r="G83" s="13">
        <v>38000</v>
      </c>
      <c r="H83" s="7">
        <f t="shared" si="5"/>
        <v>456000</v>
      </c>
    </row>
    <row r="84" spans="1:8" s="8" customFormat="1" x14ac:dyDescent="0.25">
      <c r="A84" s="16">
        <v>45771</v>
      </c>
      <c r="B84" s="10" t="s">
        <v>169</v>
      </c>
      <c r="C84" s="17">
        <v>20200725736</v>
      </c>
      <c r="D84" s="28" t="s">
        <v>170</v>
      </c>
      <c r="E84" s="13">
        <v>200000</v>
      </c>
      <c r="F84" s="5">
        <v>12</v>
      </c>
      <c r="G84" s="13">
        <v>76000</v>
      </c>
      <c r="H84" s="7">
        <f t="shared" si="5"/>
        <v>912000</v>
      </c>
    </row>
    <row r="85" spans="1:8" s="8" customFormat="1" x14ac:dyDescent="0.25">
      <c r="A85" s="16">
        <v>45772</v>
      </c>
      <c r="B85" s="10" t="s">
        <v>171</v>
      </c>
      <c r="C85" s="17">
        <v>20288856169</v>
      </c>
      <c r="D85" s="28" t="s">
        <v>172</v>
      </c>
      <c r="E85" s="13">
        <v>100000</v>
      </c>
      <c r="F85" s="5">
        <v>12</v>
      </c>
      <c r="G85" s="13">
        <v>38000</v>
      </c>
      <c r="H85" s="7">
        <f t="shared" si="5"/>
        <v>456000</v>
      </c>
    </row>
    <row r="86" spans="1:8" s="8" customFormat="1" x14ac:dyDescent="0.25">
      <c r="A86" s="16">
        <v>45775</v>
      </c>
      <c r="B86" s="10" t="s">
        <v>173</v>
      </c>
      <c r="C86" s="17">
        <v>20240608082</v>
      </c>
      <c r="D86" s="28" t="s">
        <v>174</v>
      </c>
      <c r="E86" s="13">
        <v>200000</v>
      </c>
      <c r="F86" s="5">
        <v>12</v>
      </c>
      <c r="G86" s="13">
        <v>76000</v>
      </c>
      <c r="H86" s="7">
        <f t="shared" si="5"/>
        <v>912000</v>
      </c>
    </row>
    <row r="87" spans="1:8" s="8" customFormat="1" x14ac:dyDescent="0.25">
      <c r="A87" s="16">
        <v>45775</v>
      </c>
      <c r="B87" s="10" t="s">
        <v>175</v>
      </c>
      <c r="C87" s="17">
        <v>23180606939</v>
      </c>
      <c r="D87" s="28" t="s">
        <v>176</v>
      </c>
      <c r="E87" s="13">
        <v>300000</v>
      </c>
      <c r="F87" s="5">
        <v>12</v>
      </c>
      <c r="G87" s="13">
        <v>114000</v>
      </c>
      <c r="H87" s="7">
        <f t="shared" si="5"/>
        <v>1368000</v>
      </c>
    </row>
    <row r="88" spans="1:8" s="8" customFormat="1" x14ac:dyDescent="0.25">
      <c r="A88" s="16">
        <v>45776</v>
      </c>
      <c r="B88" s="10" t="s">
        <v>177</v>
      </c>
      <c r="C88" s="17">
        <v>27173137430</v>
      </c>
      <c r="D88" s="28" t="s">
        <v>178</v>
      </c>
      <c r="E88" s="13">
        <v>500000</v>
      </c>
      <c r="F88" s="5">
        <v>12</v>
      </c>
      <c r="G88" s="13">
        <v>190000</v>
      </c>
      <c r="H88" s="7">
        <f t="shared" si="5"/>
        <v>2280000</v>
      </c>
    </row>
    <row r="89" spans="1:8" s="8" customFormat="1" x14ac:dyDescent="0.25">
      <c r="A89" s="16">
        <v>45776</v>
      </c>
      <c r="B89" s="10" t="s">
        <v>56</v>
      </c>
      <c r="C89" s="17">
        <v>27322822079</v>
      </c>
      <c r="D89" s="28" t="s">
        <v>57</v>
      </c>
      <c r="E89" s="13">
        <v>300000</v>
      </c>
      <c r="F89" s="5">
        <v>12</v>
      </c>
      <c r="G89" s="13">
        <v>114000</v>
      </c>
      <c r="H89" s="7">
        <f t="shared" si="5"/>
        <v>1368000</v>
      </c>
    </row>
    <row r="90" spans="1:8" s="8" customFormat="1" x14ac:dyDescent="0.25">
      <c r="A90" s="16">
        <v>45777</v>
      </c>
      <c r="B90" s="10" t="s">
        <v>70</v>
      </c>
      <c r="C90" s="17">
        <v>23223096164</v>
      </c>
      <c r="D90" s="28" t="s">
        <v>71</v>
      </c>
      <c r="E90" s="13">
        <v>700000</v>
      </c>
      <c r="F90" s="5">
        <v>12</v>
      </c>
      <c r="G90" s="13">
        <v>266000</v>
      </c>
      <c r="H90" s="7">
        <f t="shared" si="5"/>
        <v>3192000</v>
      </c>
    </row>
    <row r="91" spans="1:8" s="8" customFormat="1" x14ac:dyDescent="0.25">
      <c r="A91" s="16">
        <v>45783</v>
      </c>
      <c r="B91" s="10" t="s">
        <v>179</v>
      </c>
      <c r="C91" s="17">
        <v>20283096816</v>
      </c>
      <c r="D91" s="28" t="s">
        <v>180</v>
      </c>
      <c r="E91" s="13">
        <v>300000</v>
      </c>
      <c r="F91" s="5">
        <v>12</v>
      </c>
      <c r="G91" s="13">
        <v>114000</v>
      </c>
      <c r="H91" s="7">
        <f t="shared" si="5"/>
        <v>1368000</v>
      </c>
    </row>
    <row r="92" spans="1:8" s="8" customFormat="1" x14ac:dyDescent="0.25">
      <c r="A92" s="16">
        <v>45784</v>
      </c>
      <c r="B92" s="10" t="s">
        <v>52</v>
      </c>
      <c r="C92" s="17">
        <v>20118373813</v>
      </c>
      <c r="D92" s="28" t="s">
        <v>53</v>
      </c>
      <c r="E92" s="13">
        <v>100000</v>
      </c>
      <c r="F92" s="5">
        <v>12</v>
      </c>
      <c r="G92" s="13">
        <v>38000</v>
      </c>
      <c r="H92" s="7">
        <f t="shared" si="5"/>
        <v>456000</v>
      </c>
    </row>
    <row r="93" spans="1:8" s="8" customFormat="1" x14ac:dyDescent="0.25">
      <c r="A93" s="16">
        <v>45785</v>
      </c>
      <c r="B93" s="10" t="s">
        <v>181</v>
      </c>
      <c r="C93" s="17">
        <v>20257460763</v>
      </c>
      <c r="D93" s="28" t="s">
        <v>182</v>
      </c>
      <c r="E93" s="13">
        <v>100000</v>
      </c>
      <c r="F93" s="5">
        <v>12</v>
      </c>
      <c r="G93" s="13">
        <v>38000</v>
      </c>
      <c r="H93" s="7">
        <f t="shared" si="5"/>
        <v>456000</v>
      </c>
    </row>
    <row r="94" spans="1:8" s="8" customFormat="1" x14ac:dyDescent="0.25">
      <c r="A94" s="16">
        <v>45785</v>
      </c>
      <c r="B94" s="10" t="s">
        <v>183</v>
      </c>
      <c r="C94" s="17">
        <v>20273830759</v>
      </c>
      <c r="D94" s="28" t="s">
        <v>184</v>
      </c>
      <c r="E94" s="13">
        <v>200000</v>
      </c>
      <c r="F94" s="5">
        <v>12</v>
      </c>
      <c r="G94" s="13">
        <v>76000</v>
      </c>
      <c r="H94" s="7">
        <f t="shared" si="5"/>
        <v>912000</v>
      </c>
    </row>
    <row r="95" spans="1:8" s="8" customFormat="1" x14ac:dyDescent="0.25">
      <c r="A95" s="16">
        <v>45786</v>
      </c>
      <c r="B95" s="10" t="s">
        <v>185</v>
      </c>
      <c r="C95" s="17">
        <v>20264928150</v>
      </c>
      <c r="D95" s="28" t="s">
        <v>186</v>
      </c>
      <c r="E95" s="13">
        <v>200000</v>
      </c>
      <c r="F95" s="5">
        <v>12</v>
      </c>
      <c r="G95" s="13">
        <v>76000</v>
      </c>
      <c r="H95" s="7">
        <f t="shared" si="5"/>
        <v>912000</v>
      </c>
    </row>
    <row r="96" spans="1:8" s="8" customFormat="1" x14ac:dyDescent="0.25">
      <c r="A96" s="16">
        <v>45786</v>
      </c>
      <c r="B96" s="10" t="s">
        <v>84</v>
      </c>
      <c r="C96" s="17">
        <v>27057831672</v>
      </c>
      <c r="D96" s="28" t="s">
        <v>85</v>
      </c>
      <c r="E96" s="13">
        <v>500000</v>
      </c>
      <c r="F96" s="5">
        <v>12</v>
      </c>
      <c r="G96" s="13">
        <v>190000</v>
      </c>
      <c r="H96" s="7">
        <f t="shared" si="5"/>
        <v>2280000</v>
      </c>
    </row>
    <row r="97" spans="1:11" s="8" customFormat="1" x14ac:dyDescent="0.25">
      <c r="A97" s="16">
        <v>45786</v>
      </c>
      <c r="B97" s="10" t="s">
        <v>86</v>
      </c>
      <c r="C97" s="17">
        <v>27174106287</v>
      </c>
      <c r="D97" s="28" t="s">
        <v>87</v>
      </c>
      <c r="E97" s="13">
        <v>100000</v>
      </c>
      <c r="F97" s="5">
        <v>12</v>
      </c>
      <c r="G97" s="13">
        <v>38000</v>
      </c>
      <c r="H97" s="7">
        <f t="shared" si="5"/>
        <v>456000</v>
      </c>
    </row>
    <row r="98" spans="1:11" s="8" customFormat="1" x14ac:dyDescent="0.25">
      <c r="A98" s="16">
        <v>45786</v>
      </c>
      <c r="B98" s="10" t="s">
        <v>187</v>
      </c>
      <c r="C98" s="17">
        <v>27371679877</v>
      </c>
      <c r="D98" s="28" t="s">
        <v>188</v>
      </c>
      <c r="E98" s="13">
        <v>400000</v>
      </c>
      <c r="F98" s="5">
        <v>12</v>
      </c>
      <c r="G98" s="13">
        <v>152000</v>
      </c>
      <c r="H98" s="7">
        <f t="shared" si="5"/>
        <v>1824000</v>
      </c>
    </row>
    <row r="99" spans="1:11" s="8" customFormat="1" x14ac:dyDescent="0.25">
      <c r="A99" s="16">
        <v>45786</v>
      </c>
      <c r="B99" s="10" t="s">
        <v>189</v>
      </c>
      <c r="C99" s="17">
        <v>27299171790</v>
      </c>
      <c r="D99" s="28" t="s">
        <v>190</v>
      </c>
      <c r="E99" s="13">
        <v>100000</v>
      </c>
      <c r="F99" s="5">
        <v>12</v>
      </c>
      <c r="G99" s="13">
        <v>38000</v>
      </c>
      <c r="H99" s="7">
        <f t="shared" si="5"/>
        <v>456000</v>
      </c>
      <c r="K99" s="20"/>
    </row>
    <row r="100" spans="1:11" s="8" customFormat="1" x14ac:dyDescent="0.25">
      <c r="A100" s="16">
        <v>45786</v>
      </c>
      <c r="B100" s="10" t="s">
        <v>191</v>
      </c>
      <c r="C100" s="17">
        <v>23326281484</v>
      </c>
      <c r="D100" s="28" t="s">
        <v>192</v>
      </c>
      <c r="E100" s="13">
        <v>200000</v>
      </c>
      <c r="F100" s="5">
        <v>12</v>
      </c>
      <c r="G100" s="13">
        <v>76000</v>
      </c>
      <c r="H100" s="7">
        <f t="shared" si="5"/>
        <v>912000</v>
      </c>
    </row>
    <row r="101" spans="1:11" s="8" customFormat="1" x14ac:dyDescent="0.25">
      <c r="A101" s="16">
        <v>45786</v>
      </c>
      <c r="B101" s="10" t="s">
        <v>193</v>
      </c>
      <c r="C101" s="17">
        <v>20318141717</v>
      </c>
      <c r="D101" s="28" t="s">
        <v>194</v>
      </c>
      <c r="E101" s="13">
        <v>100000</v>
      </c>
      <c r="F101" s="5">
        <v>12</v>
      </c>
      <c r="G101" s="13">
        <v>38000</v>
      </c>
      <c r="H101" s="7">
        <f t="shared" si="5"/>
        <v>456000</v>
      </c>
    </row>
    <row r="102" spans="1:11" s="8" customFormat="1" x14ac:dyDescent="0.25">
      <c r="A102" s="16">
        <v>45786</v>
      </c>
      <c r="B102" s="10" t="s">
        <v>195</v>
      </c>
      <c r="C102" s="17">
        <v>20280763641</v>
      </c>
      <c r="D102" s="28" t="s">
        <v>196</v>
      </c>
      <c r="E102" s="13">
        <v>300000</v>
      </c>
      <c r="F102" s="5">
        <v>12</v>
      </c>
      <c r="G102" s="13">
        <v>114000</v>
      </c>
      <c r="H102" s="7">
        <f t="shared" si="5"/>
        <v>1368000</v>
      </c>
    </row>
    <row r="103" spans="1:11" s="8" customFormat="1" x14ac:dyDescent="0.25">
      <c r="A103" s="16">
        <v>45789</v>
      </c>
      <c r="B103" s="10" t="s">
        <v>197</v>
      </c>
      <c r="C103" s="17">
        <v>27259289780</v>
      </c>
      <c r="D103" s="28" t="s">
        <v>198</v>
      </c>
      <c r="E103" s="13">
        <v>300000</v>
      </c>
      <c r="F103" s="5">
        <v>12</v>
      </c>
      <c r="G103" s="13">
        <v>114000</v>
      </c>
      <c r="H103" s="7">
        <f t="shared" si="5"/>
        <v>1368000</v>
      </c>
    </row>
    <row r="104" spans="1:11" s="8" customFormat="1" x14ac:dyDescent="0.25">
      <c r="A104" s="16">
        <v>45789</v>
      </c>
      <c r="B104" s="10" t="s">
        <v>199</v>
      </c>
      <c r="C104" s="17">
        <v>23251171114</v>
      </c>
      <c r="D104" s="28" t="s">
        <v>200</v>
      </c>
      <c r="E104" s="13">
        <v>500000</v>
      </c>
      <c r="F104" s="5">
        <v>12</v>
      </c>
      <c r="G104" s="13">
        <v>190000</v>
      </c>
      <c r="H104" s="7">
        <f t="shared" si="5"/>
        <v>2280000</v>
      </c>
    </row>
    <row r="105" spans="1:11" s="8" customFormat="1" x14ac:dyDescent="0.25">
      <c r="A105" s="16">
        <v>45789</v>
      </c>
      <c r="B105" s="10" t="s">
        <v>201</v>
      </c>
      <c r="C105" s="17">
        <v>20116823358</v>
      </c>
      <c r="D105" s="28" t="s">
        <v>202</v>
      </c>
      <c r="E105" s="13">
        <v>1000000</v>
      </c>
      <c r="F105" s="5">
        <v>12</v>
      </c>
      <c r="G105" s="13">
        <v>380000</v>
      </c>
      <c r="H105" s="7">
        <f t="shared" si="5"/>
        <v>4560000</v>
      </c>
    </row>
    <row r="106" spans="1:11" s="8" customFormat="1" x14ac:dyDescent="0.25">
      <c r="A106" s="16">
        <v>45790</v>
      </c>
      <c r="B106" s="10" t="s">
        <v>203</v>
      </c>
      <c r="C106" s="17">
        <v>27320277014</v>
      </c>
      <c r="D106" s="28" t="s">
        <v>204</v>
      </c>
      <c r="E106" s="13">
        <v>300000</v>
      </c>
      <c r="F106" s="5">
        <v>12</v>
      </c>
      <c r="G106" s="13">
        <v>114000</v>
      </c>
      <c r="H106" s="7">
        <f t="shared" si="5"/>
        <v>1368000</v>
      </c>
    </row>
    <row r="107" spans="1:11" s="8" customFormat="1" x14ac:dyDescent="0.25">
      <c r="A107" s="16">
        <v>45790</v>
      </c>
      <c r="B107" s="10" t="s">
        <v>205</v>
      </c>
      <c r="C107" s="17">
        <v>27247212340</v>
      </c>
      <c r="D107" s="28" t="s">
        <v>206</v>
      </c>
      <c r="E107" s="13">
        <v>100000</v>
      </c>
      <c r="F107" s="5">
        <v>12</v>
      </c>
      <c r="G107" s="13">
        <v>38000</v>
      </c>
      <c r="H107" s="7">
        <f t="shared" si="5"/>
        <v>456000</v>
      </c>
    </row>
    <row r="108" spans="1:11" s="8" customFormat="1" x14ac:dyDescent="0.25">
      <c r="A108" s="16">
        <v>45790</v>
      </c>
      <c r="B108" s="10" t="s">
        <v>207</v>
      </c>
      <c r="C108" s="17">
        <v>20341297673</v>
      </c>
      <c r="D108" s="28" t="s">
        <v>208</v>
      </c>
      <c r="E108" s="13">
        <v>200000</v>
      </c>
      <c r="F108" s="5">
        <v>12</v>
      </c>
      <c r="G108" s="13">
        <v>76000</v>
      </c>
      <c r="H108" s="7">
        <f t="shared" si="5"/>
        <v>912000</v>
      </c>
    </row>
    <row r="109" spans="1:11" s="8" customFormat="1" x14ac:dyDescent="0.25">
      <c r="A109" s="16">
        <v>45792</v>
      </c>
      <c r="B109" s="10" t="s">
        <v>209</v>
      </c>
      <c r="C109" s="17">
        <v>20209241073</v>
      </c>
      <c r="D109" s="28" t="s">
        <v>210</v>
      </c>
      <c r="E109" s="13">
        <v>200000</v>
      </c>
      <c r="F109" s="5">
        <v>12</v>
      </c>
      <c r="G109" s="13">
        <v>76000</v>
      </c>
      <c r="H109" s="7">
        <f t="shared" si="5"/>
        <v>912000</v>
      </c>
    </row>
    <row r="110" spans="1:11" s="8" customFormat="1" x14ac:dyDescent="0.25">
      <c r="A110" s="16">
        <v>45792</v>
      </c>
      <c r="B110" s="10" t="s">
        <v>211</v>
      </c>
      <c r="C110" s="17">
        <v>27111937392</v>
      </c>
      <c r="D110" s="28" t="s">
        <v>212</v>
      </c>
      <c r="E110" s="13">
        <v>400000</v>
      </c>
      <c r="F110" s="5">
        <v>12</v>
      </c>
      <c r="G110" s="13">
        <v>152000</v>
      </c>
      <c r="H110" s="7">
        <f t="shared" si="5"/>
        <v>1824000</v>
      </c>
    </row>
    <row r="111" spans="1:11" s="8" customFormat="1" x14ac:dyDescent="0.25">
      <c r="A111" s="16">
        <v>45792</v>
      </c>
      <c r="B111" s="10" t="s">
        <v>213</v>
      </c>
      <c r="C111" s="17">
        <v>20137074487</v>
      </c>
      <c r="D111" s="28" t="s">
        <v>214</v>
      </c>
      <c r="E111" s="13">
        <v>200000</v>
      </c>
      <c r="F111" s="5">
        <v>12</v>
      </c>
      <c r="G111" s="13">
        <v>76000</v>
      </c>
      <c r="H111" s="7">
        <f t="shared" si="5"/>
        <v>912000</v>
      </c>
    </row>
    <row r="112" spans="1:11" s="8" customFormat="1" x14ac:dyDescent="0.25">
      <c r="A112" s="16">
        <v>45792</v>
      </c>
      <c r="B112" s="10" t="s">
        <v>215</v>
      </c>
      <c r="C112" s="17">
        <v>27161724357</v>
      </c>
      <c r="D112" s="28" t="s">
        <v>216</v>
      </c>
      <c r="E112" s="13">
        <v>1500000</v>
      </c>
      <c r="F112" s="5">
        <v>12</v>
      </c>
      <c r="G112" s="13">
        <v>570000</v>
      </c>
      <c r="H112" s="7">
        <f t="shared" si="5"/>
        <v>6840000</v>
      </c>
    </row>
    <row r="113" spans="1:8" s="8" customFormat="1" x14ac:dyDescent="0.25">
      <c r="A113" s="16">
        <v>45792</v>
      </c>
      <c r="B113" s="10" t="s">
        <v>217</v>
      </c>
      <c r="C113" s="17">
        <v>27119826549</v>
      </c>
      <c r="D113" s="28" t="s">
        <v>218</v>
      </c>
      <c r="E113" s="13">
        <v>200000</v>
      </c>
      <c r="F113" s="5">
        <v>12</v>
      </c>
      <c r="G113" s="13">
        <v>76000</v>
      </c>
      <c r="H113" s="7">
        <f t="shared" si="5"/>
        <v>912000</v>
      </c>
    </row>
    <row r="114" spans="1:8" s="8" customFormat="1" x14ac:dyDescent="0.25">
      <c r="A114" s="16">
        <v>45792</v>
      </c>
      <c r="B114" s="10" t="s">
        <v>219</v>
      </c>
      <c r="C114" s="17">
        <v>20344436917</v>
      </c>
      <c r="D114" s="28" t="s">
        <v>220</v>
      </c>
      <c r="E114" s="13">
        <v>300000</v>
      </c>
      <c r="F114" s="5">
        <v>12</v>
      </c>
      <c r="G114" s="13">
        <v>114000</v>
      </c>
      <c r="H114" s="7">
        <f t="shared" si="5"/>
        <v>1368000</v>
      </c>
    </row>
    <row r="115" spans="1:8" s="8" customFormat="1" x14ac:dyDescent="0.25">
      <c r="A115" s="16">
        <v>45792</v>
      </c>
      <c r="B115" s="10" t="s">
        <v>221</v>
      </c>
      <c r="C115" s="17">
        <v>20225158135</v>
      </c>
      <c r="D115" s="28" t="s">
        <v>222</v>
      </c>
      <c r="E115" s="13">
        <v>200000</v>
      </c>
      <c r="F115" s="5">
        <v>12</v>
      </c>
      <c r="G115" s="13">
        <v>76000</v>
      </c>
      <c r="H115" s="7">
        <f t="shared" si="5"/>
        <v>912000</v>
      </c>
    </row>
    <row r="116" spans="1:8" s="8" customFormat="1" x14ac:dyDescent="0.25">
      <c r="A116" s="16">
        <v>45793</v>
      </c>
      <c r="B116" s="10" t="s">
        <v>223</v>
      </c>
      <c r="C116" s="17">
        <v>20333604095</v>
      </c>
      <c r="D116" s="28" t="s">
        <v>224</v>
      </c>
      <c r="E116" s="13">
        <v>200000</v>
      </c>
      <c r="F116" s="5">
        <v>12</v>
      </c>
      <c r="G116" s="13">
        <v>76000</v>
      </c>
      <c r="H116" s="7">
        <f t="shared" si="5"/>
        <v>912000</v>
      </c>
    </row>
    <row r="117" spans="1:8" s="8" customFormat="1" x14ac:dyDescent="0.25">
      <c r="A117" s="16">
        <v>45793</v>
      </c>
      <c r="B117" s="10" t="s">
        <v>225</v>
      </c>
      <c r="C117" s="17">
        <v>27288264002</v>
      </c>
      <c r="D117" s="28" t="s">
        <v>226</v>
      </c>
      <c r="E117" s="13">
        <v>300000</v>
      </c>
      <c r="F117" s="5">
        <v>12</v>
      </c>
      <c r="G117" s="13">
        <v>114000</v>
      </c>
      <c r="H117" s="7">
        <f t="shared" si="5"/>
        <v>1368000</v>
      </c>
    </row>
    <row r="118" spans="1:8" s="8" customFormat="1" x14ac:dyDescent="0.25">
      <c r="A118" s="16">
        <v>45793</v>
      </c>
      <c r="B118" s="10" t="s">
        <v>227</v>
      </c>
      <c r="C118" s="17">
        <v>20228345726</v>
      </c>
      <c r="D118" s="28" t="s">
        <v>228</v>
      </c>
      <c r="E118" s="13">
        <v>200000</v>
      </c>
      <c r="F118" s="5">
        <v>12</v>
      </c>
      <c r="G118" s="13">
        <v>76000</v>
      </c>
      <c r="H118" s="7">
        <f t="shared" si="5"/>
        <v>912000</v>
      </c>
    </row>
    <row r="119" spans="1:8" s="8" customFormat="1" x14ac:dyDescent="0.25">
      <c r="A119" s="16">
        <v>45793</v>
      </c>
      <c r="B119" s="10" t="s">
        <v>229</v>
      </c>
      <c r="C119" s="17">
        <v>27225156129</v>
      </c>
      <c r="D119" s="28" t="s">
        <v>230</v>
      </c>
      <c r="E119" s="13">
        <v>300000</v>
      </c>
      <c r="F119" s="5">
        <v>12</v>
      </c>
      <c r="G119" s="13">
        <v>114000</v>
      </c>
      <c r="H119" s="7">
        <f t="shared" si="5"/>
        <v>1368000</v>
      </c>
    </row>
    <row r="120" spans="1:8" s="8" customFormat="1" x14ac:dyDescent="0.25">
      <c r="A120" s="16">
        <v>45797</v>
      </c>
      <c r="B120" s="10" t="s">
        <v>231</v>
      </c>
      <c r="C120" s="17">
        <v>20290245762</v>
      </c>
      <c r="D120" s="28" t="s">
        <v>232</v>
      </c>
      <c r="E120" s="13">
        <v>100000</v>
      </c>
      <c r="F120" s="5">
        <v>12</v>
      </c>
      <c r="G120" s="13">
        <v>38000</v>
      </c>
      <c r="H120" s="7">
        <f t="shared" si="5"/>
        <v>456000</v>
      </c>
    </row>
    <row r="121" spans="1:8" s="8" customFormat="1" x14ac:dyDescent="0.25">
      <c r="A121" s="16">
        <v>45797</v>
      </c>
      <c r="B121" s="10" t="s">
        <v>233</v>
      </c>
      <c r="C121" s="17">
        <v>27216825921</v>
      </c>
      <c r="D121" s="28" t="s">
        <v>234</v>
      </c>
      <c r="E121" s="13">
        <v>200000</v>
      </c>
      <c r="F121" s="5">
        <v>12</v>
      </c>
      <c r="G121" s="13">
        <v>76000</v>
      </c>
      <c r="H121" s="7">
        <f t="shared" si="5"/>
        <v>912000</v>
      </c>
    </row>
    <row r="122" spans="1:8" s="8" customFormat="1" x14ac:dyDescent="0.25">
      <c r="A122" s="16">
        <v>45797</v>
      </c>
      <c r="B122" s="10" t="s">
        <v>235</v>
      </c>
      <c r="C122" s="17">
        <v>20411872603</v>
      </c>
      <c r="D122" s="28" t="s">
        <v>236</v>
      </c>
      <c r="E122" s="13">
        <v>200000</v>
      </c>
      <c r="F122" s="5">
        <v>12</v>
      </c>
      <c r="G122" s="13">
        <v>76000</v>
      </c>
      <c r="H122" s="7">
        <f t="shared" si="5"/>
        <v>912000</v>
      </c>
    </row>
    <row r="123" spans="1:8" s="8" customFormat="1" x14ac:dyDescent="0.25">
      <c r="A123" s="16">
        <v>45798</v>
      </c>
      <c r="B123" s="10" t="s">
        <v>237</v>
      </c>
      <c r="C123" s="17">
        <v>20235613477</v>
      </c>
      <c r="D123" s="28" t="s">
        <v>238</v>
      </c>
      <c r="E123" s="13">
        <v>1000000</v>
      </c>
      <c r="F123" s="5">
        <v>12</v>
      </c>
      <c r="G123" s="13">
        <v>380000</v>
      </c>
      <c r="H123" s="7">
        <f t="shared" si="5"/>
        <v>4560000</v>
      </c>
    </row>
    <row r="124" spans="1:8" s="8" customFormat="1" x14ac:dyDescent="0.25">
      <c r="A124" s="16">
        <v>45803</v>
      </c>
      <c r="B124" s="10" t="s">
        <v>239</v>
      </c>
      <c r="C124" s="17">
        <v>27240985964</v>
      </c>
      <c r="D124" s="28" t="s">
        <v>240</v>
      </c>
      <c r="E124" s="13">
        <v>300000</v>
      </c>
      <c r="F124" s="5">
        <v>12</v>
      </c>
      <c r="G124" s="13">
        <v>114000</v>
      </c>
      <c r="H124" s="7">
        <f t="shared" si="5"/>
        <v>1368000</v>
      </c>
    </row>
    <row r="125" spans="1:8" s="8" customFormat="1" x14ac:dyDescent="0.25">
      <c r="A125" s="16">
        <v>45805</v>
      </c>
      <c r="B125" s="10" t="s">
        <v>241</v>
      </c>
      <c r="C125" s="17">
        <v>20304078529</v>
      </c>
      <c r="D125" s="28" t="s">
        <v>242</v>
      </c>
      <c r="E125" s="13">
        <v>300000</v>
      </c>
      <c r="F125" s="5">
        <v>12</v>
      </c>
      <c r="G125" s="13">
        <v>114000</v>
      </c>
      <c r="H125" s="7">
        <f t="shared" si="5"/>
        <v>1368000</v>
      </c>
    </row>
    <row r="126" spans="1:8" s="8" customFormat="1" x14ac:dyDescent="0.25">
      <c r="A126" s="16">
        <v>45806</v>
      </c>
      <c r="B126" s="10" t="s">
        <v>243</v>
      </c>
      <c r="C126" s="17">
        <v>27204227979</v>
      </c>
      <c r="D126" s="28" t="s">
        <v>244</v>
      </c>
      <c r="E126" s="13">
        <v>600000</v>
      </c>
      <c r="F126" s="5">
        <v>12</v>
      </c>
      <c r="G126" s="13">
        <v>228000</v>
      </c>
      <c r="H126" s="7">
        <f>F126*G126</f>
        <v>2736000</v>
      </c>
    </row>
    <row r="127" spans="1:8" s="8" customFormat="1" x14ac:dyDescent="0.25">
      <c r="A127" s="16">
        <v>45807</v>
      </c>
      <c r="B127" s="10" t="s">
        <v>250</v>
      </c>
      <c r="C127" s="17">
        <v>27178662185</v>
      </c>
      <c r="D127" s="28" t="s">
        <v>256</v>
      </c>
      <c r="E127" s="13">
        <v>1000000</v>
      </c>
      <c r="F127" s="5">
        <v>12</v>
      </c>
      <c r="G127" s="13">
        <v>380000</v>
      </c>
      <c r="H127" s="7">
        <f t="shared" ref="H127:H133" si="6">F127*G127</f>
        <v>4560000</v>
      </c>
    </row>
    <row r="128" spans="1:8" s="8" customFormat="1" x14ac:dyDescent="0.25">
      <c r="A128" s="16">
        <v>45807</v>
      </c>
      <c r="B128" s="10" t="s">
        <v>249</v>
      </c>
      <c r="C128" s="17">
        <v>20172842055</v>
      </c>
      <c r="D128" s="28" t="s">
        <v>255</v>
      </c>
      <c r="E128" s="13">
        <v>300000</v>
      </c>
      <c r="F128" s="5">
        <v>12</v>
      </c>
      <c r="G128" s="13">
        <v>114000</v>
      </c>
      <c r="H128" s="7">
        <f t="shared" si="6"/>
        <v>1368000</v>
      </c>
    </row>
    <row r="129" spans="1:8" s="8" customFormat="1" x14ac:dyDescent="0.25">
      <c r="A129" s="16">
        <v>45807</v>
      </c>
      <c r="B129" s="10" t="s">
        <v>248</v>
      </c>
      <c r="C129" s="17">
        <v>20316913580</v>
      </c>
      <c r="D129" s="28" t="s">
        <v>254</v>
      </c>
      <c r="E129" s="13">
        <v>200000</v>
      </c>
      <c r="F129" s="5">
        <v>12</v>
      </c>
      <c r="G129" s="13">
        <v>76000</v>
      </c>
      <c r="H129" s="7">
        <f t="shared" si="6"/>
        <v>912000</v>
      </c>
    </row>
    <row r="130" spans="1:8" s="8" customFormat="1" x14ac:dyDescent="0.25">
      <c r="A130" s="16">
        <v>45807</v>
      </c>
      <c r="B130" s="10" t="s">
        <v>247</v>
      </c>
      <c r="C130" s="17">
        <v>20251178802</v>
      </c>
      <c r="D130" s="28" t="s">
        <v>253</v>
      </c>
      <c r="E130" s="13">
        <v>100000</v>
      </c>
      <c r="F130" s="5">
        <v>12</v>
      </c>
      <c r="G130" s="13">
        <v>38000</v>
      </c>
      <c r="H130" s="7">
        <f t="shared" si="6"/>
        <v>456000</v>
      </c>
    </row>
    <row r="131" spans="1:8" s="8" customFormat="1" x14ac:dyDescent="0.25">
      <c r="A131" s="16">
        <v>45807</v>
      </c>
      <c r="B131" s="10" t="s">
        <v>246</v>
      </c>
      <c r="C131" s="17">
        <v>20160959798</v>
      </c>
      <c r="D131" s="28" t="s">
        <v>252</v>
      </c>
      <c r="E131" s="13">
        <v>200000</v>
      </c>
      <c r="F131" s="5">
        <v>12</v>
      </c>
      <c r="G131" s="13">
        <v>76000</v>
      </c>
      <c r="H131" s="7">
        <f t="shared" si="6"/>
        <v>912000</v>
      </c>
    </row>
    <row r="132" spans="1:8" s="8" customFormat="1" x14ac:dyDescent="0.25">
      <c r="A132" s="16">
        <v>45807</v>
      </c>
      <c r="B132" s="10" t="s">
        <v>245</v>
      </c>
      <c r="C132" s="17">
        <v>27162832870</v>
      </c>
      <c r="D132" s="28" t="s">
        <v>251</v>
      </c>
      <c r="E132" s="13">
        <v>700000</v>
      </c>
      <c r="F132" s="5">
        <v>12</v>
      </c>
      <c r="G132" s="13">
        <v>266000</v>
      </c>
      <c r="H132" s="7">
        <f t="shared" si="6"/>
        <v>3192000</v>
      </c>
    </row>
    <row r="133" spans="1:8" s="8" customFormat="1" x14ac:dyDescent="0.25">
      <c r="A133" s="16">
        <v>45807</v>
      </c>
      <c r="B133" s="10" t="s">
        <v>245</v>
      </c>
      <c r="C133" s="17">
        <v>27162832870</v>
      </c>
      <c r="D133" s="28" t="s">
        <v>251</v>
      </c>
      <c r="E133" s="13">
        <v>800000</v>
      </c>
      <c r="F133" s="5">
        <v>12</v>
      </c>
      <c r="G133" s="13">
        <v>304000</v>
      </c>
      <c r="H133" s="7">
        <f t="shared" si="6"/>
        <v>3648000</v>
      </c>
    </row>
    <row r="134" spans="1:8" s="8" customFormat="1" x14ac:dyDescent="0.25">
      <c r="A134" s="16">
        <v>45810</v>
      </c>
      <c r="B134" s="10" t="s">
        <v>257</v>
      </c>
      <c r="C134" s="17">
        <v>27336080172</v>
      </c>
      <c r="D134" s="28" t="s">
        <v>258</v>
      </c>
      <c r="E134" s="13">
        <v>200000</v>
      </c>
      <c r="F134" s="5">
        <v>12</v>
      </c>
      <c r="G134" s="13">
        <v>76000</v>
      </c>
      <c r="H134" s="7">
        <f t="shared" ref="H134:H162" si="7">F134*G134</f>
        <v>912000</v>
      </c>
    </row>
    <row r="135" spans="1:8" s="8" customFormat="1" hidden="1" x14ac:dyDescent="0.25">
      <c r="A135" s="16">
        <v>45813</v>
      </c>
      <c r="B135" s="10" t="s">
        <v>259</v>
      </c>
      <c r="C135" s="17">
        <v>20149372424</v>
      </c>
      <c r="D135" s="28" t="s">
        <v>260</v>
      </c>
      <c r="E135" s="13">
        <v>500000</v>
      </c>
      <c r="F135" s="5">
        <v>12</v>
      </c>
      <c r="G135" s="13">
        <v>190000</v>
      </c>
      <c r="H135" s="7">
        <f t="shared" si="7"/>
        <v>2280000</v>
      </c>
    </row>
    <row r="136" spans="1:8" s="8" customFormat="1" hidden="1" x14ac:dyDescent="0.25">
      <c r="A136" s="16">
        <v>45814</v>
      </c>
      <c r="B136" s="10" t="s">
        <v>261</v>
      </c>
      <c r="C136" s="17">
        <v>20322824956</v>
      </c>
      <c r="D136" s="28" t="s">
        <v>262</v>
      </c>
      <c r="E136" s="13">
        <v>200000</v>
      </c>
      <c r="F136" s="5">
        <v>12</v>
      </c>
      <c r="G136" s="13">
        <v>760000</v>
      </c>
      <c r="H136" s="7">
        <f t="shared" si="7"/>
        <v>9120000</v>
      </c>
    </row>
    <row r="137" spans="1:8" s="8" customFormat="1" x14ac:dyDescent="0.25">
      <c r="A137" s="16">
        <v>45811</v>
      </c>
      <c r="B137" s="10" t="s">
        <v>629</v>
      </c>
      <c r="C137" s="17"/>
      <c r="D137" s="28"/>
      <c r="E137" s="13">
        <v>1000000</v>
      </c>
      <c r="F137" s="5">
        <v>12</v>
      </c>
      <c r="G137" s="13">
        <v>380000</v>
      </c>
      <c r="H137" s="7">
        <f t="shared" si="7"/>
        <v>4560000</v>
      </c>
    </row>
    <row r="138" spans="1:8" s="8" customFormat="1" x14ac:dyDescent="0.25">
      <c r="A138" s="16">
        <v>45813</v>
      </c>
      <c r="B138" s="10" t="s">
        <v>630</v>
      </c>
      <c r="C138" s="17"/>
      <c r="D138" s="28"/>
      <c r="E138" s="13">
        <v>500000</v>
      </c>
      <c r="F138" s="5">
        <v>12</v>
      </c>
      <c r="G138" s="13">
        <v>190000</v>
      </c>
      <c r="H138" s="7">
        <f t="shared" si="7"/>
        <v>2280000</v>
      </c>
    </row>
    <row r="139" spans="1:8" s="8" customFormat="1" x14ac:dyDescent="0.25">
      <c r="A139" s="16">
        <v>45814</v>
      </c>
      <c r="B139" s="10" t="s">
        <v>261</v>
      </c>
      <c r="C139" s="17"/>
      <c r="D139" s="28"/>
      <c r="E139" s="13">
        <v>200000</v>
      </c>
      <c r="F139" s="5">
        <v>12</v>
      </c>
      <c r="G139" s="13">
        <v>76000</v>
      </c>
      <c r="H139" s="7">
        <f t="shared" si="7"/>
        <v>912000</v>
      </c>
    </row>
    <row r="140" spans="1:8" s="8" customFormat="1" ht="17.25" customHeight="1" x14ac:dyDescent="0.25">
      <c r="A140" s="16">
        <v>45817</v>
      </c>
      <c r="B140" s="10" t="s">
        <v>263</v>
      </c>
      <c r="C140" s="17">
        <v>20209826071</v>
      </c>
      <c r="D140" s="28" t="s">
        <v>264</v>
      </c>
      <c r="E140" s="13">
        <v>300000</v>
      </c>
      <c r="F140" s="5">
        <v>12</v>
      </c>
      <c r="G140" s="13">
        <v>114000</v>
      </c>
      <c r="H140" s="7">
        <f t="shared" si="7"/>
        <v>1368000</v>
      </c>
    </row>
    <row r="141" spans="1:8" s="8" customFormat="1" x14ac:dyDescent="0.25">
      <c r="A141" s="16">
        <v>45817</v>
      </c>
      <c r="B141" s="10" t="s">
        <v>265</v>
      </c>
      <c r="C141" s="17">
        <v>27209249222</v>
      </c>
      <c r="D141" s="28" t="s">
        <v>266</v>
      </c>
      <c r="E141" s="13">
        <v>400000</v>
      </c>
      <c r="F141" s="5">
        <v>12</v>
      </c>
      <c r="G141" s="13">
        <v>152000</v>
      </c>
      <c r="H141" s="7">
        <f t="shared" si="7"/>
        <v>1824000</v>
      </c>
    </row>
    <row r="142" spans="1:8" s="8" customFormat="1" x14ac:dyDescent="0.25">
      <c r="A142" s="16">
        <v>45817</v>
      </c>
      <c r="B142" s="10" t="s">
        <v>267</v>
      </c>
      <c r="C142" s="17">
        <v>20238516308</v>
      </c>
      <c r="D142" s="28" t="s">
        <v>268</v>
      </c>
      <c r="E142" s="13">
        <v>200000</v>
      </c>
      <c r="F142" s="5">
        <v>12</v>
      </c>
      <c r="G142" s="13">
        <v>76000</v>
      </c>
      <c r="H142" s="7">
        <f t="shared" si="7"/>
        <v>912000</v>
      </c>
    </row>
    <row r="143" spans="1:8" s="8" customFormat="1" x14ac:dyDescent="0.25">
      <c r="A143" s="16">
        <v>45817</v>
      </c>
      <c r="B143" s="10" t="s">
        <v>269</v>
      </c>
      <c r="C143" s="17">
        <v>27179395369</v>
      </c>
      <c r="D143" s="28" t="s">
        <v>270</v>
      </c>
      <c r="E143" s="13">
        <v>200000</v>
      </c>
      <c r="F143" s="5">
        <v>12</v>
      </c>
      <c r="G143" s="13">
        <v>76000</v>
      </c>
      <c r="H143" s="7">
        <f t="shared" si="7"/>
        <v>912000</v>
      </c>
    </row>
    <row r="144" spans="1:8" s="8" customFormat="1" x14ac:dyDescent="0.25">
      <c r="A144" s="16">
        <v>45818</v>
      </c>
      <c r="B144" s="10" t="s">
        <v>271</v>
      </c>
      <c r="C144" s="17">
        <v>20301578114</v>
      </c>
      <c r="D144" s="28" t="s">
        <v>272</v>
      </c>
      <c r="E144" s="13">
        <v>200000</v>
      </c>
      <c r="F144" s="5">
        <v>12</v>
      </c>
      <c r="G144" s="13">
        <v>76000</v>
      </c>
      <c r="H144" s="7">
        <f t="shared" si="7"/>
        <v>912000</v>
      </c>
    </row>
    <row r="145" spans="1:8" s="8" customFormat="1" x14ac:dyDescent="0.25">
      <c r="A145" s="16">
        <v>45818</v>
      </c>
      <c r="B145" s="10" t="s">
        <v>273</v>
      </c>
      <c r="C145" s="17">
        <v>20322822104</v>
      </c>
      <c r="D145" s="28" t="s">
        <v>274</v>
      </c>
      <c r="E145" s="13">
        <v>200000</v>
      </c>
      <c r="F145" s="5">
        <v>12</v>
      </c>
      <c r="G145" s="13">
        <v>76000</v>
      </c>
      <c r="H145" s="7">
        <f t="shared" si="7"/>
        <v>912000</v>
      </c>
    </row>
    <row r="146" spans="1:8" s="8" customFormat="1" x14ac:dyDescent="0.25">
      <c r="A146" s="16">
        <v>45818</v>
      </c>
      <c r="B146" s="10" t="s">
        <v>275</v>
      </c>
      <c r="C146" s="17">
        <v>27200720607</v>
      </c>
      <c r="D146" s="28" t="s">
        <v>276</v>
      </c>
      <c r="E146" s="13">
        <v>500000</v>
      </c>
      <c r="F146" s="5">
        <v>12</v>
      </c>
      <c r="G146" s="13">
        <v>190000</v>
      </c>
      <c r="H146" s="7">
        <f t="shared" si="7"/>
        <v>2280000</v>
      </c>
    </row>
    <row r="147" spans="1:8" s="8" customFormat="1" x14ac:dyDescent="0.25">
      <c r="A147" s="16">
        <v>45818</v>
      </c>
      <c r="B147" s="10" t="s">
        <v>277</v>
      </c>
      <c r="C147" s="17">
        <v>20324150480</v>
      </c>
      <c r="D147" s="28" t="s">
        <v>278</v>
      </c>
      <c r="E147" s="13">
        <v>500000</v>
      </c>
      <c r="F147" s="5">
        <v>12</v>
      </c>
      <c r="G147" s="13">
        <v>190000</v>
      </c>
      <c r="H147" s="7">
        <f t="shared" si="7"/>
        <v>2280000</v>
      </c>
    </row>
    <row r="148" spans="1:8" s="8" customFormat="1" x14ac:dyDescent="0.25">
      <c r="A148" s="16">
        <v>45819</v>
      </c>
      <c r="B148" s="10" t="s">
        <v>279</v>
      </c>
      <c r="C148" s="17">
        <v>27290739344</v>
      </c>
      <c r="D148" s="28" t="s">
        <v>280</v>
      </c>
      <c r="E148" s="13">
        <v>300000</v>
      </c>
      <c r="F148" s="5">
        <v>12</v>
      </c>
      <c r="G148" s="13">
        <v>114000</v>
      </c>
      <c r="H148" s="7">
        <f t="shared" si="7"/>
        <v>1368000</v>
      </c>
    </row>
    <row r="149" spans="1:8" s="8" customFormat="1" x14ac:dyDescent="0.25">
      <c r="A149" s="16">
        <v>45819</v>
      </c>
      <c r="B149" s="10" t="s">
        <v>281</v>
      </c>
      <c r="C149" s="17">
        <v>23316486479</v>
      </c>
      <c r="D149" s="28" t="s">
        <v>282</v>
      </c>
      <c r="E149" s="13">
        <v>200000</v>
      </c>
      <c r="F149" s="5">
        <v>12</v>
      </c>
      <c r="G149" s="13">
        <v>76000</v>
      </c>
      <c r="H149" s="7">
        <f t="shared" si="7"/>
        <v>912000</v>
      </c>
    </row>
    <row r="150" spans="1:8" s="8" customFormat="1" x14ac:dyDescent="0.25">
      <c r="A150" s="16">
        <v>45820</v>
      </c>
      <c r="B150" s="10" t="s">
        <v>283</v>
      </c>
      <c r="C150" s="17">
        <v>20227518767</v>
      </c>
      <c r="D150" s="28" t="s">
        <v>284</v>
      </c>
      <c r="E150" s="13">
        <v>700000</v>
      </c>
      <c r="F150" s="5">
        <v>12</v>
      </c>
      <c r="G150" s="13">
        <v>266000</v>
      </c>
      <c r="H150" s="7">
        <f t="shared" si="7"/>
        <v>3192000</v>
      </c>
    </row>
    <row r="151" spans="1:8" s="8" customFormat="1" x14ac:dyDescent="0.25">
      <c r="A151" s="16">
        <v>45821</v>
      </c>
      <c r="B151" s="10" t="s">
        <v>285</v>
      </c>
      <c r="C151" s="17">
        <v>27175296765</v>
      </c>
      <c r="D151" s="28" t="s">
        <v>286</v>
      </c>
      <c r="E151" s="13">
        <v>1000000</v>
      </c>
      <c r="F151" s="5">
        <v>12</v>
      </c>
      <c r="G151" s="13">
        <v>380000</v>
      </c>
      <c r="H151" s="7">
        <f t="shared" si="7"/>
        <v>4560000</v>
      </c>
    </row>
    <row r="152" spans="1:8" s="8" customFormat="1" x14ac:dyDescent="0.25">
      <c r="A152" s="16">
        <v>45821</v>
      </c>
      <c r="B152" s="10" t="s">
        <v>287</v>
      </c>
      <c r="C152" s="17">
        <v>20305420434</v>
      </c>
      <c r="D152" s="28" t="s">
        <v>288</v>
      </c>
      <c r="E152" s="13">
        <v>300000</v>
      </c>
      <c r="F152" s="5">
        <v>12</v>
      </c>
      <c r="G152" s="13">
        <v>114000</v>
      </c>
      <c r="H152" s="7">
        <f t="shared" si="7"/>
        <v>1368000</v>
      </c>
    </row>
    <row r="153" spans="1:8" s="8" customFormat="1" x14ac:dyDescent="0.25">
      <c r="A153" s="16">
        <v>45825</v>
      </c>
      <c r="B153" s="10" t="s">
        <v>289</v>
      </c>
      <c r="C153" s="17">
        <v>27292599051</v>
      </c>
      <c r="D153" s="28" t="s">
        <v>290</v>
      </c>
      <c r="E153" s="13">
        <v>500000</v>
      </c>
      <c r="F153" s="5">
        <v>12</v>
      </c>
      <c r="G153" s="13">
        <v>190000</v>
      </c>
      <c r="H153" s="7">
        <f t="shared" si="7"/>
        <v>2280000</v>
      </c>
    </row>
    <row r="154" spans="1:8" s="8" customFormat="1" x14ac:dyDescent="0.25">
      <c r="A154" s="16">
        <v>45826</v>
      </c>
      <c r="B154" s="10" t="s">
        <v>291</v>
      </c>
      <c r="C154" s="17">
        <v>27261872361</v>
      </c>
      <c r="D154" s="28" t="s">
        <v>292</v>
      </c>
      <c r="E154" s="13">
        <v>100000</v>
      </c>
      <c r="F154" s="5">
        <v>12</v>
      </c>
      <c r="G154" s="13">
        <v>38000</v>
      </c>
      <c r="H154" s="7">
        <f t="shared" si="7"/>
        <v>456000</v>
      </c>
    </row>
    <row r="155" spans="1:8" s="8" customFormat="1" x14ac:dyDescent="0.25">
      <c r="A155" s="16">
        <v>45827</v>
      </c>
      <c r="B155" s="10" t="s">
        <v>293</v>
      </c>
      <c r="C155" s="17">
        <v>20306766997</v>
      </c>
      <c r="D155" s="28" t="s">
        <v>300</v>
      </c>
      <c r="E155" s="13">
        <v>100000</v>
      </c>
      <c r="F155" s="5">
        <v>12</v>
      </c>
      <c r="G155" s="13">
        <v>38000</v>
      </c>
      <c r="H155" s="7">
        <f t="shared" si="7"/>
        <v>456000</v>
      </c>
    </row>
    <row r="156" spans="1:8" s="8" customFormat="1" x14ac:dyDescent="0.25">
      <c r="A156" s="16">
        <v>45827</v>
      </c>
      <c r="B156" s="10" t="s">
        <v>294</v>
      </c>
      <c r="C156" s="17">
        <v>27282339183</v>
      </c>
      <c r="D156" s="28" t="s">
        <v>295</v>
      </c>
      <c r="E156" s="13">
        <v>200000</v>
      </c>
      <c r="F156" s="5">
        <v>12</v>
      </c>
      <c r="G156" s="13">
        <v>76000</v>
      </c>
      <c r="H156" s="7">
        <f t="shared" si="7"/>
        <v>912000</v>
      </c>
    </row>
    <row r="157" spans="1:8" s="8" customFormat="1" x14ac:dyDescent="0.25">
      <c r="A157" s="16">
        <v>45827</v>
      </c>
      <c r="B157" s="10" t="s">
        <v>296</v>
      </c>
      <c r="C157" s="17">
        <v>20335503385</v>
      </c>
      <c r="D157" s="28" t="s">
        <v>297</v>
      </c>
      <c r="E157" s="13">
        <v>200000</v>
      </c>
      <c r="F157" s="5">
        <v>12</v>
      </c>
      <c r="G157" s="13">
        <v>76000</v>
      </c>
      <c r="H157" s="7">
        <f t="shared" si="7"/>
        <v>912000</v>
      </c>
    </row>
    <row r="158" spans="1:8" s="8" customFormat="1" x14ac:dyDescent="0.25">
      <c r="A158" s="16">
        <v>45827</v>
      </c>
      <c r="B158" s="10" t="s">
        <v>58</v>
      </c>
      <c r="C158" s="17">
        <v>20216582803</v>
      </c>
      <c r="D158" s="28" t="s">
        <v>59</v>
      </c>
      <c r="E158" s="13">
        <v>500000</v>
      </c>
      <c r="F158" s="5">
        <v>12</v>
      </c>
      <c r="G158" s="13">
        <v>190000</v>
      </c>
      <c r="H158" s="7">
        <f t="shared" si="7"/>
        <v>2280000</v>
      </c>
    </row>
    <row r="159" spans="1:8" s="8" customFormat="1" x14ac:dyDescent="0.25">
      <c r="A159" s="16">
        <v>45827</v>
      </c>
      <c r="B159" s="10" t="s">
        <v>298</v>
      </c>
      <c r="C159" s="17">
        <v>27178902658</v>
      </c>
      <c r="D159" s="28" t="s">
        <v>299</v>
      </c>
      <c r="E159" s="13">
        <v>300000</v>
      </c>
      <c r="F159" s="5">
        <v>12</v>
      </c>
      <c r="G159" s="13">
        <v>114000</v>
      </c>
      <c r="H159" s="7">
        <f t="shared" si="7"/>
        <v>1368000</v>
      </c>
    </row>
    <row r="160" spans="1:8" s="8" customFormat="1" x14ac:dyDescent="0.25">
      <c r="A160" s="16">
        <v>45831</v>
      </c>
      <c r="B160" s="10" t="s">
        <v>301</v>
      </c>
      <c r="C160" s="17">
        <v>27297868980</v>
      </c>
      <c r="D160" s="28" t="s">
        <v>302</v>
      </c>
      <c r="E160" s="13">
        <v>500000</v>
      </c>
      <c r="F160" s="5">
        <v>12</v>
      </c>
      <c r="G160" s="13">
        <v>190000</v>
      </c>
      <c r="H160" s="7">
        <f t="shared" si="7"/>
        <v>2280000</v>
      </c>
    </row>
    <row r="161" spans="1:8" s="8" customFormat="1" x14ac:dyDescent="0.25">
      <c r="A161" s="16">
        <v>45832</v>
      </c>
      <c r="B161" s="10" t="s">
        <v>303</v>
      </c>
      <c r="C161" s="17">
        <v>20266433817</v>
      </c>
      <c r="D161" s="28" t="s">
        <v>304</v>
      </c>
      <c r="E161" s="13">
        <v>200000</v>
      </c>
      <c r="F161" s="5">
        <v>12</v>
      </c>
      <c r="G161" s="13">
        <v>76000</v>
      </c>
      <c r="H161" s="7">
        <f t="shared" si="7"/>
        <v>912000</v>
      </c>
    </row>
    <row r="162" spans="1:8" s="8" customFormat="1" x14ac:dyDescent="0.25">
      <c r="A162" s="16">
        <v>45833</v>
      </c>
      <c r="B162" s="10" t="s">
        <v>305</v>
      </c>
      <c r="C162" s="17">
        <v>27376373482</v>
      </c>
      <c r="D162" s="28" t="s">
        <v>306</v>
      </c>
      <c r="E162" s="13">
        <v>500000</v>
      </c>
      <c r="F162" s="5">
        <v>12</v>
      </c>
      <c r="G162" s="13">
        <v>190000</v>
      </c>
      <c r="H162" s="7">
        <f t="shared" si="7"/>
        <v>2280000</v>
      </c>
    </row>
    <row r="163" spans="1:8" s="8" customFormat="1" x14ac:dyDescent="0.25">
      <c r="A163" s="16">
        <v>45834</v>
      </c>
      <c r="B163" s="10" t="s">
        <v>307</v>
      </c>
      <c r="C163" s="17">
        <v>20326810755</v>
      </c>
      <c r="D163" s="28" t="s">
        <v>308</v>
      </c>
      <c r="E163" s="13">
        <v>200000</v>
      </c>
      <c r="F163" s="5">
        <v>12</v>
      </c>
      <c r="G163" s="13">
        <v>76000</v>
      </c>
      <c r="H163" s="7">
        <f t="shared" ref="H163:H165" si="8">F163*G163</f>
        <v>912000</v>
      </c>
    </row>
    <row r="164" spans="1:8" s="8" customFormat="1" x14ac:dyDescent="0.25">
      <c r="A164" s="16">
        <v>45834</v>
      </c>
      <c r="B164" s="10" t="s">
        <v>309</v>
      </c>
      <c r="C164" s="17">
        <v>27238548379</v>
      </c>
      <c r="D164" s="28" t="s">
        <v>310</v>
      </c>
      <c r="E164" s="13">
        <v>200000</v>
      </c>
      <c r="F164" s="5">
        <v>12</v>
      </c>
      <c r="G164" s="13">
        <v>76000</v>
      </c>
      <c r="H164" s="7">
        <f t="shared" si="8"/>
        <v>912000</v>
      </c>
    </row>
    <row r="165" spans="1:8" s="8" customFormat="1" x14ac:dyDescent="0.25">
      <c r="A165" s="16">
        <v>45834</v>
      </c>
      <c r="B165" s="10" t="s">
        <v>311</v>
      </c>
      <c r="C165" s="17">
        <v>27162833508</v>
      </c>
      <c r="D165" s="28" t="s">
        <v>312</v>
      </c>
      <c r="E165" s="13">
        <v>200000</v>
      </c>
      <c r="F165" s="5">
        <v>12</v>
      </c>
      <c r="G165" s="13">
        <v>76000</v>
      </c>
      <c r="H165" s="7">
        <f t="shared" si="8"/>
        <v>912000</v>
      </c>
    </row>
    <row r="166" spans="1:8" s="8" customFormat="1" x14ac:dyDescent="0.25">
      <c r="A166" s="16">
        <v>45835</v>
      </c>
      <c r="B166" s="10" t="s">
        <v>313</v>
      </c>
      <c r="C166" s="17">
        <v>27174385144</v>
      </c>
      <c r="D166" s="28" t="s">
        <v>314</v>
      </c>
      <c r="E166" s="13">
        <v>200000</v>
      </c>
      <c r="F166" s="5">
        <v>12</v>
      </c>
      <c r="G166" s="13">
        <v>76000</v>
      </c>
      <c r="H166" s="7">
        <f t="shared" ref="H166" si="9">F166*G166</f>
        <v>912000</v>
      </c>
    </row>
    <row r="167" spans="1:8" s="8" customFormat="1" x14ac:dyDescent="0.25">
      <c r="A167" s="16">
        <v>45835</v>
      </c>
      <c r="B167" s="10" t="s">
        <v>315</v>
      </c>
      <c r="C167" s="17">
        <v>27177632851</v>
      </c>
      <c r="D167" s="28" t="s">
        <v>316</v>
      </c>
      <c r="E167" s="13">
        <v>500000</v>
      </c>
      <c r="F167" s="5">
        <v>12</v>
      </c>
      <c r="G167" s="13">
        <v>190000</v>
      </c>
      <c r="H167" s="7">
        <f>F167*G167</f>
        <v>2280000</v>
      </c>
    </row>
    <row r="168" spans="1:8" s="8" customFormat="1" x14ac:dyDescent="0.25">
      <c r="A168" s="16">
        <v>45838</v>
      </c>
      <c r="B168" s="10" t="s">
        <v>317</v>
      </c>
      <c r="C168" s="17">
        <v>27290404652</v>
      </c>
      <c r="D168" s="28" t="s">
        <v>318</v>
      </c>
      <c r="E168" s="13">
        <v>500000</v>
      </c>
      <c r="F168" s="5">
        <v>12</v>
      </c>
      <c r="G168" s="13">
        <v>190000</v>
      </c>
      <c r="H168" s="7">
        <f>F168*G168</f>
        <v>2280000</v>
      </c>
    </row>
    <row r="169" spans="1:8" s="8" customFormat="1" x14ac:dyDescent="0.25">
      <c r="A169" s="16">
        <v>45839</v>
      </c>
      <c r="B169" s="10" t="s">
        <v>319</v>
      </c>
      <c r="C169" s="17">
        <v>20326284913</v>
      </c>
      <c r="D169" s="28" t="s">
        <v>320</v>
      </c>
      <c r="E169" s="13">
        <v>100000</v>
      </c>
      <c r="F169" s="5">
        <v>12</v>
      </c>
      <c r="G169" s="13">
        <v>38000</v>
      </c>
      <c r="H169" s="7">
        <f>F169*G169</f>
        <v>456000</v>
      </c>
    </row>
    <row r="170" spans="1:8" s="8" customFormat="1" x14ac:dyDescent="0.25">
      <c r="A170" s="16">
        <v>45841</v>
      </c>
      <c r="B170" s="10" t="s">
        <v>321</v>
      </c>
      <c r="C170" s="17">
        <v>27170809101</v>
      </c>
      <c r="D170" s="28" t="s">
        <v>322</v>
      </c>
      <c r="E170" s="13">
        <v>500000</v>
      </c>
      <c r="F170" s="5">
        <v>12</v>
      </c>
      <c r="G170" s="13">
        <v>190000</v>
      </c>
      <c r="H170" s="7">
        <f t="shared" ref="H170:H183" si="10">F170*G170</f>
        <v>2280000</v>
      </c>
    </row>
    <row r="171" spans="1:8" s="8" customFormat="1" x14ac:dyDescent="0.25">
      <c r="A171" s="16">
        <v>45841</v>
      </c>
      <c r="B171" s="10" t="s">
        <v>323</v>
      </c>
      <c r="C171" s="17">
        <v>20114312054</v>
      </c>
      <c r="D171" s="28" t="s">
        <v>324</v>
      </c>
      <c r="E171" s="13">
        <v>500000</v>
      </c>
      <c r="F171" s="5">
        <v>12</v>
      </c>
      <c r="G171" s="13">
        <v>190000</v>
      </c>
      <c r="H171" s="7">
        <f t="shared" si="10"/>
        <v>2280000</v>
      </c>
    </row>
    <row r="172" spans="1:8" s="8" customFormat="1" x14ac:dyDescent="0.25">
      <c r="A172" s="16">
        <v>45841</v>
      </c>
      <c r="B172" s="10" t="s">
        <v>325</v>
      </c>
      <c r="C172" s="17">
        <v>27313104007</v>
      </c>
      <c r="D172" s="28" t="s">
        <v>326</v>
      </c>
      <c r="E172" s="13">
        <v>500000</v>
      </c>
      <c r="F172" s="5">
        <v>12</v>
      </c>
      <c r="G172" s="13">
        <v>190000</v>
      </c>
      <c r="H172" s="7">
        <f t="shared" si="10"/>
        <v>2280000</v>
      </c>
    </row>
    <row r="173" spans="1:8" s="8" customFormat="1" x14ac:dyDescent="0.25">
      <c r="A173" s="16">
        <v>45841</v>
      </c>
      <c r="B173" s="10" t="s">
        <v>327</v>
      </c>
      <c r="C173" s="17">
        <v>27161992823</v>
      </c>
      <c r="D173" s="28" t="s">
        <v>328</v>
      </c>
      <c r="E173" s="13">
        <v>200000</v>
      </c>
      <c r="F173" s="5">
        <v>12</v>
      </c>
      <c r="G173" s="13">
        <v>76000</v>
      </c>
      <c r="H173" s="7">
        <f t="shared" si="10"/>
        <v>912000</v>
      </c>
    </row>
    <row r="174" spans="1:8" s="8" customFormat="1" x14ac:dyDescent="0.25">
      <c r="A174" s="16">
        <v>45842</v>
      </c>
      <c r="B174" s="10" t="s">
        <v>329</v>
      </c>
      <c r="C174" s="17">
        <v>27209248129</v>
      </c>
      <c r="D174" s="28" t="s">
        <v>330</v>
      </c>
      <c r="E174" s="13">
        <v>500000</v>
      </c>
      <c r="F174" s="5">
        <v>12</v>
      </c>
      <c r="G174" s="13">
        <v>190000</v>
      </c>
      <c r="H174" s="7">
        <f t="shared" si="10"/>
        <v>2280000</v>
      </c>
    </row>
    <row r="175" spans="1:8" s="8" customFormat="1" x14ac:dyDescent="0.25">
      <c r="A175" s="16">
        <v>45845</v>
      </c>
      <c r="B175" s="10" t="s">
        <v>331</v>
      </c>
      <c r="C175" s="17">
        <v>27176382622</v>
      </c>
      <c r="D175" s="28" t="s">
        <v>332</v>
      </c>
      <c r="E175" s="13">
        <v>500000</v>
      </c>
      <c r="F175" s="5">
        <v>12</v>
      </c>
      <c r="G175" s="13">
        <v>190000</v>
      </c>
      <c r="H175" s="7">
        <f t="shared" si="10"/>
        <v>2280000</v>
      </c>
    </row>
    <row r="176" spans="1:8" s="8" customFormat="1" x14ac:dyDescent="0.25">
      <c r="A176" s="16">
        <v>45848</v>
      </c>
      <c r="B176" s="10" t="s">
        <v>333</v>
      </c>
      <c r="C176" s="17">
        <v>20177248259</v>
      </c>
      <c r="D176" s="28" t="s">
        <v>334</v>
      </c>
      <c r="E176" s="13">
        <v>300000</v>
      </c>
      <c r="F176" s="5">
        <v>12</v>
      </c>
      <c r="G176" s="13">
        <v>114000</v>
      </c>
      <c r="H176" s="7">
        <f t="shared" si="10"/>
        <v>1368000</v>
      </c>
    </row>
    <row r="177" spans="1:8" s="8" customFormat="1" x14ac:dyDescent="0.25">
      <c r="A177" s="16">
        <v>45848</v>
      </c>
      <c r="B177" s="10" t="s">
        <v>335</v>
      </c>
      <c r="C177" s="17">
        <v>20102877374</v>
      </c>
      <c r="D177" s="28" t="s">
        <v>336</v>
      </c>
      <c r="E177" s="13">
        <v>200000</v>
      </c>
      <c r="F177" s="5">
        <v>12</v>
      </c>
      <c r="G177" s="13">
        <v>76000</v>
      </c>
      <c r="H177" s="7">
        <f t="shared" si="10"/>
        <v>912000</v>
      </c>
    </row>
    <row r="178" spans="1:8" s="8" customFormat="1" x14ac:dyDescent="0.25">
      <c r="A178" s="16">
        <v>45849</v>
      </c>
      <c r="B178" s="10" t="s">
        <v>337</v>
      </c>
      <c r="C178" s="17">
        <v>27208862060</v>
      </c>
      <c r="D178" s="28" t="s">
        <v>338</v>
      </c>
      <c r="E178" s="13">
        <v>300000</v>
      </c>
      <c r="F178" s="5">
        <v>12</v>
      </c>
      <c r="G178" s="13">
        <v>114000</v>
      </c>
      <c r="H178" s="7">
        <f t="shared" si="10"/>
        <v>1368000</v>
      </c>
    </row>
    <row r="179" spans="1:8" s="8" customFormat="1" x14ac:dyDescent="0.25">
      <c r="A179" s="16">
        <v>45849</v>
      </c>
      <c r="B179" s="10" t="s">
        <v>339</v>
      </c>
      <c r="C179" s="17">
        <v>23263276019</v>
      </c>
      <c r="D179" s="28" t="s">
        <v>340</v>
      </c>
      <c r="E179" s="13">
        <v>200000</v>
      </c>
      <c r="F179" s="5">
        <v>12</v>
      </c>
      <c r="G179" s="13">
        <v>76000</v>
      </c>
      <c r="H179" s="7">
        <f t="shared" si="10"/>
        <v>912000</v>
      </c>
    </row>
    <row r="180" spans="1:8" s="8" customFormat="1" x14ac:dyDescent="0.25">
      <c r="A180" s="16">
        <v>45849</v>
      </c>
      <c r="B180" s="10" t="s">
        <v>341</v>
      </c>
      <c r="C180" s="17">
        <v>23144224914</v>
      </c>
      <c r="D180" s="28" t="s">
        <v>342</v>
      </c>
      <c r="E180" s="13">
        <v>300000</v>
      </c>
      <c r="F180" s="5">
        <v>12</v>
      </c>
      <c r="G180" s="13">
        <v>114000</v>
      </c>
      <c r="H180" s="7">
        <f t="shared" si="10"/>
        <v>1368000</v>
      </c>
    </row>
    <row r="181" spans="1:8" s="8" customFormat="1" x14ac:dyDescent="0.25">
      <c r="A181" s="16">
        <v>45849</v>
      </c>
      <c r="B181" s="10" t="s">
        <v>343</v>
      </c>
      <c r="C181" s="17">
        <v>27132745620</v>
      </c>
      <c r="D181" s="28" t="s">
        <v>344</v>
      </c>
      <c r="E181" s="13">
        <v>500000</v>
      </c>
      <c r="F181" s="5">
        <v>12</v>
      </c>
      <c r="G181" s="13">
        <v>190000</v>
      </c>
      <c r="H181" s="7">
        <f t="shared" si="10"/>
        <v>2280000</v>
      </c>
    </row>
    <row r="182" spans="1:8" s="8" customFormat="1" x14ac:dyDescent="0.25">
      <c r="A182" s="16">
        <v>45849</v>
      </c>
      <c r="B182" s="10" t="s">
        <v>345</v>
      </c>
      <c r="C182" s="17">
        <v>27243805053</v>
      </c>
      <c r="D182" s="28" t="s">
        <v>346</v>
      </c>
      <c r="E182" s="13">
        <v>400000</v>
      </c>
      <c r="F182" s="5">
        <v>12</v>
      </c>
      <c r="G182" s="13">
        <v>152000</v>
      </c>
      <c r="H182" s="7">
        <f t="shared" si="10"/>
        <v>1824000</v>
      </c>
    </row>
    <row r="183" spans="1:8" s="8" customFormat="1" x14ac:dyDescent="0.25">
      <c r="A183" s="16">
        <v>45849</v>
      </c>
      <c r="B183" s="10" t="s">
        <v>347</v>
      </c>
      <c r="C183" s="17">
        <v>20253022788</v>
      </c>
      <c r="D183" s="28" t="s">
        <v>348</v>
      </c>
      <c r="E183" s="13">
        <v>700000</v>
      </c>
      <c r="F183" s="5">
        <v>12</v>
      </c>
      <c r="G183" s="13">
        <v>266000</v>
      </c>
      <c r="H183" s="7">
        <f t="shared" si="10"/>
        <v>3192000</v>
      </c>
    </row>
    <row r="184" spans="1:8" s="8" customFormat="1" x14ac:dyDescent="0.25">
      <c r="A184" s="16">
        <v>45852</v>
      </c>
      <c r="B184" s="10" t="s">
        <v>349</v>
      </c>
      <c r="C184" s="17">
        <v>20291042334</v>
      </c>
      <c r="D184" s="28" t="s">
        <v>350</v>
      </c>
      <c r="E184" s="13">
        <v>100000</v>
      </c>
      <c r="F184" s="5">
        <v>12</v>
      </c>
      <c r="G184" s="13">
        <v>38000</v>
      </c>
      <c r="H184" s="2">
        <f>F184*G184</f>
        <v>456000</v>
      </c>
    </row>
    <row r="185" spans="1:8" s="8" customFormat="1" x14ac:dyDescent="0.25">
      <c r="A185" s="16">
        <v>45853</v>
      </c>
      <c r="B185" s="10" t="s">
        <v>351</v>
      </c>
      <c r="C185" s="17">
        <v>23131413459</v>
      </c>
      <c r="D185" s="28" t="s">
        <v>352</v>
      </c>
      <c r="E185" s="13">
        <v>200000</v>
      </c>
      <c r="F185" s="5">
        <v>12</v>
      </c>
      <c r="G185" s="13">
        <v>76000</v>
      </c>
      <c r="H185" s="2">
        <f t="shared" ref="H185:H194" si="11">F185*G185</f>
        <v>912000</v>
      </c>
    </row>
    <row r="186" spans="1:8" s="8" customFormat="1" x14ac:dyDescent="0.25">
      <c r="A186" s="16">
        <v>45853</v>
      </c>
      <c r="B186" s="10" t="s">
        <v>353</v>
      </c>
      <c r="C186" s="17">
        <v>20253563983</v>
      </c>
      <c r="D186" s="28" t="s">
        <v>354</v>
      </c>
      <c r="E186" s="13">
        <v>100000</v>
      </c>
      <c r="F186" s="5">
        <v>12</v>
      </c>
      <c r="G186" s="13">
        <v>38000</v>
      </c>
      <c r="H186" s="2">
        <f t="shared" si="11"/>
        <v>456000</v>
      </c>
    </row>
    <row r="187" spans="1:8" s="8" customFormat="1" x14ac:dyDescent="0.25">
      <c r="A187" s="16">
        <v>45854</v>
      </c>
      <c r="B187" s="10" t="s">
        <v>148</v>
      </c>
      <c r="C187" s="17">
        <v>20211518430</v>
      </c>
      <c r="D187" s="28" t="s">
        <v>149</v>
      </c>
      <c r="E187" s="13">
        <v>200000</v>
      </c>
      <c r="F187" s="5">
        <v>12</v>
      </c>
      <c r="G187" s="13">
        <v>76000</v>
      </c>
      <c r="H187" s="2">
        <f t="shared" si="11"/>
        <v>912000</v>
      </c>
    </row>
    <row r="188" spans="1:8" s="8" customFormat="1" x14ac:dyDescent="0.25">
      <c r="A188" s="16">
        <v>45854</v>
      </c>
      <c r="B188" s="10" t="s">
        <v>355</v>
      </c>
      <c r="C188" s="17">
        <v>27107975212</v>
      </c>
      <c r="D188" s="28" t="s">
        <v>356</v>
      </c>
      <c r="E188" s="13">
        <v>300000</v>
      </c>
      <c r="F188" s="5">
        <v>12</v>
      </c>
      <c r="G188" s="13">
        <v>114000</v>
      </c>
      <c r="H188" s="2">
        <f t="shared" si="11"/>
        <v>1368000</v>
      </c>
    </row>
    <row r="189" spans="1:8" s="8" customFormat="1" x14ac:dyDescent="0.25">
      <c r="A189" s="16">
        <v>45855</v>
      </c>
      <c r="B189" s="10" t="s">
        <v>357</v>
      </c>
      <c r="C189" s="17">
        <v>20241508502</v>
      </c>
      <c r="D189" s="28" t="s">
        <v>358</v>
      </c>
      <c r="E189" s="13">
        <v>400000</v>
      </c>
      <c r="F189" s="5">
        <v>12</v>
      </c>
      <c r="G189" s="13">
        <v>152000</v>
      </c>
      <c r="H189" s="2">
        <f t="shared" si="11"/>
        <v>1824000</v>
      </c>
    </row>
    <row r="190" spans="1:8" s="8" customFormat="1" x14ac:dyDescent="0.25">
      <c r="A190" s="16">
        <v>45856</v>
      </c>
      <c r="B190" s="10" t="s">
        <v>359</v>
      </c>
      <c r="C190" s="17">
        <v>20188133666</v>
      </c>
      <c r="D190" s="28" t="s">
        <v>360</v>
      </c>
      <c r="E190" s="13">
        <v>200000</v>
      </c>
      <c r="F190" s="5">
        <v>12</v>
      </c>
      <c r="G190" s="13">
        <v>76000</v>
      </c>
      <c r="H190" s="2">
        <f t="shared" si="11"/>
        <v>912000</v>
      </c>
    </row>
    <row r="191" spans="1:8" s="8" customFormat="1" x14ac:dyDescent="0.25">
      <c r="A191" s="16">
        <v>45856</v>
      </c>
      <c r="B191" s="10" t="s">
        <v>361</v>
      </c>
      <c r="C191" s="17">
        <v>23174284989</v>
      </c>
      <c r="D191" s="28" t="s">
        <v>362</v>
      </c>
      <c r="E191" s="13">
        <v>300000</v>
      </c>
      <c r="F191" s="5">
        <v>12</v>
      </c>
      <c r="G191" s="13">
        <v>114000</v>
      </c>
      <c r="H191" s="2">
        <f t="shared" si="11"/>
        <v>1368000</v>
      </c>
    </row>
    <row r="192" spans="1:8" s="8" customFormat="1" x14ac:dyDescent="0.25">
      <c r="A192" s="16">
        <v>45856</v>
      </c>
      <c r="B192" s="10" t="s">
        <v>363</v>
      </c>
      <c r="C192" s="17">
        <v>23146017169</v>
      </c>
      <c r="D192" s="28" t="s">
        <v>364</v>
      </c>
      <c r="E192" s="13">
        <v>200000</v>
      </c>
      <c r="F192" s="5">
        <v>12</v>
      </c>
      <c r="G192" s="13">
        <v>76000</v>
      </c>
      <c r="H192" s="2">
        <f t="shared" si="11"/>
        <v>912000</v>
      </c>
    </row>
    <row r="193" spans="1:8" s="8" customFormat="1" x14ac:dyDescent="0.25">
      <c r="A193" s="16">
        <v>45856</v>
      </c>
      <c r="B193" s="10" t="s">
        <v>365</v>
      </c>
      <c r="C193" s="17">
        <v>20205456962</v>
      </c>
      <c r="D193" s="28" t="s">
        <v>366</v>
      </c>
      <c r="E193" s="13">
        <v>100000</v>
      </c>
      <c r="F193" s="5">
        <v>12</v>
      </c>
      <c r="G193" s="13">
        <v>38000</v>
      </c>
      <c r="H193" s="2">
        <f t="shared" si="11"/>
        <v>456000</v>
      </c>
    </row>
    <row r="194" spans="1:8" s="8" customFormat="1" x14ac:dyDescent="0.25">
      <c r="A194" s="16">
        <v>45859</v>
      </c>
      <c r="B194" s="10" t="s">
        <v>367</v>
      </c>
      <c r="C194" s="17">
        <v>27161932057</v>
      </c>
      <c r="D194" s="28" t="s">
        <v>368</v>
      </c>
      <c r="E194" s="13">
        <v>500000</v>
      </c>
      <c r="F194" s="5">
        <v>12</v>
      </c>
      <c r="G194" s="13">
        <v>190000</v>
      </c>
      <c r="H194" s="2">
        <f t="shared" si="11"/>
        <v>2280000</v>
      </c>
    </row>
    <row r="195" spans="1:8" s="8" customFormat="1" x14ac:dyDescent="0.25">
      <c r="A195" s="16">
        <v>45860</v>
      </c>
      <c r="B195" s="10" t="s">
        <v>369</v>
      </c>
      <c r="C195" s="17">
        <v>27292599515</v>
      </c>
      <c r="D195" s="28" t="s">
        <v>370</v>
      </c>
      <c r="E195" s="13">
        <v>200000</v>
      </c>
      <c r="F195" s="5">
        <v>12</v>
      </c>
      <c r="G195" s="13">
        <v>76000</v>
      </c>
      <c r="H195" s="30">
        <f>+F195*G195</f>
        <v>912000</v>
      </c>
    </row>
    <row r="196" spans="1:8" s="8" customFormat="1" x14ac:dyDescent="0.25">
      <c r="A196" s="16">
        <v>45860</v>
      </c>
      <c r="B196" s="10" t="s">
        <v>371</v>
      </c>
      <c r="C196" s="17">
        <v>27245083179</v>
      </c>
      <c r="D196" s="28" t="s">
        <v>372</v>
      </c>
      <c r="E196" s="13">
        <v>700000</v>
      </c>
      <c r="F196" s="5">
        <v>12</v>
      </c>
      <c r="G196" s="13">
        <v>266000</v>
      </c>
      <c r="H196" s="30">
        <f t="shared" ref="H196:H221" si="12">+F196*G196</f>
        <v>3192000</v>
      </c>
    </row>
    <row r="197" spans="1:8" s="8" customFormat="1" x14ac:dyDescent="0.25">
      <c r="A197" s="16">
        <v>45860</v>
      </c>
      <c r="B197" s="10" t="s">
        <v>373</v>
      </c>
      <c r="C197" s="17">
        <v>20287809787</v>
      </c>
      <c r="D197" s="28" t="s">
        <v>374</v>
      </c>
      <c r="E197" s="13">
        <v>700000</v>
      </c>
      <c r="F197" s="5">
        <v>12</v>
      </c>
      <c r="G197" s="13">
        <v>266000</v>
      </c>
      <c r="H197" s="30">
        <f t="shared" si="12"/>
        <v>3192000</v>
      </c>
    </row>
    <row r="198" spans="1:8" s="8" customFormat="1" x14ac:dyDescent="0.25">
      <c r="A198" s="16">
        <v>45861</v>
      </c>
      <c r="B198" s="10" t="s">
        <v>375</v>
      </c>
      <c r="C198" s="17">
        <v>20219101679</v>
      </c>
      <c r="D198" s="28" t="s">
        <v>376</v>
      </c>
      <c r="E198" s="13">
        <v>200000</v>
      </c>
      <c r="F198" s="5">
        <v>12</v>
      </c>
      <c r="G198" s="13">
        <v>76000</v>
      </c>
      <c r="H198" s="30">
        <f t="shared" si="12"/>
        <v>912000</v>
      </c>
    </row>
    <row r="199" spans="1:8" s="8" customFormat="1" x14ac:dyDescent="0.25">
      <c r="A199" s="16">
        <v>45862</v>
      </c>
      <c r="B199" s="10" t="s">
        <v>377</v>
      </c>
      <c r="C199" s="17">
        <v>23233093629</v>
      </c>
      <c r="D199" s="28" t="s">
        <v>378</v>
      </c>
      <c r="E199" s="13">
        <v>200000</v>
      </c>
      <c r="F199" s="5">
        <v>12</v>
      </c>
      <c r="G199" s="13">
        <v>76000</v>
      </c>
      <c r="H199" s="30">
        <f t="shared" si="12"/>
        <v>912000</v>
      </c>
    </row>
    <row r="200" spans="1:8" s="8" customFormat="1" x14ac:dyDescent="0.25">
      <c r="A200" s="16">
        <v>45862</v>
      </c>
      <c r="B200" s="10" t="s">
        <v>379</v>
      </c>
      <c r="C200" s="17">
        <v>20233928047</v>
      </c>
      <c r="D200" s="28" t="s">
        <v>380</v>
      </c>
      <c r="E200" s="13">
        <v>300000</v>
      </c>
      <c r="F200" s="5">
        <v>12</v>
      </c>
      <c r="G200" s="13">
        <v>114000</v>
      </c>
      <c r="H200" s="30">
        <f t="shared" si="12"/>
        <v>1368000</v>
      </c>
    </row>
    <row r="201" spans="1:8" s="8" customFormat="1" x14ac:dyDescent="0.25">
      <c r="A201" s="16">
        <v>45863</v>
      </c>
      <c r="B201" s="10" t="s">
        <v>381</v>
      </c>
      <c r="C201" s="17">
        <v>23326288489</v>
      </c>
      <c r="D201" s="28" t="s">
        <v>382</v>
      </c>
      <c r="E201" s="13">
        <v>500000</v>
      </c>
      <c r="F201" s="5">
        <v>12</v>
      </c>
      <c r="G201" s="13">
        <v>190000</v>
      </c>
      <c r="H201" s="30">
        <f t="shared" si="12"/>
        <v>2280000</v>
      </c>
    </row>
    <row r="202" spans="1:8" s="8" customFormat="1" x14ac:dyDescent="0.25">
      <c r="A202" s="16">
        <v>45866</v>
      </c>
      <c r="B202" s="10" t="s">
        <v>383</v>
      </c>
      <c r="C202" s="17">
        <v>20216821948</v>
      </c>
      <c r="D202" s="28" t="s">
        <v>384</v>
      </c>
      <c r="E202" s="13">
        <v>200000</v>
      </c>
      <c r="F202" s="5">
        <v>12</v>
      </c>
      <c r="G202" s="13">
        <v>76000</v>
      </c>
      <c r="H202" s="30">
        <f t="shared" si="12"/>
        <v>912000</v>
      </c>
    </row>
    <row r="203" spans="1:8" s="8" customFormat="1" x14ac:dyDescent="0.25">
      <c r="A203" s="16">
        <v>45866</v>
      </c>
      <c r="B203" s="10" t="s">
        <v>385</v>
      </c>
      <c r="C203" s="17">
        <v>27161992599</v>
      </c>
      <c r="D203" s="28" t="s">
        <v>386</v>
      </c>
      <c r="E203" s="13">
        <v>100000</v>
      </c>
      <c r="F203" s="5">
        <v>12</v>
      </c>
      <c r="G203" s="13">
        <v>38000</v>
      </c>
      <c r="H203" s="30">
        <f t="shared" si="12"/>
        <v>456000</v>
      </c>
    </row>
    <row r="204" spans="1:8" s="8" customFormat="1" x14ac:dyDescent="0.25">
      <c r="A204" s="16">
        <v>45866</v>
      </c>
      <c r="B204" s="10" t="s">
        <v>387</v>
      </c>
      <c r="C204" s="17">
        <v>27303754046</v>
      </c>
      <c r="D204" s="28" t="s">
        <v>388</v>
      </c>
      <c r="E204" s="13">
        <v>200000</v>
      </c>
      <c r="F204" s="5">
        <v>12</v>
      </c>
      <c r="G204" s="13">
        <v>76000</v>
      </c>
      <c r="H204" s="30">
        <f t="shared" si="12"/>
        <v>912000</v>
      </c>
    </row>
    <row r="205" spans="1:8" s="8" customFormat="1" x14ac:dyDescent="0.25">
      <c r="A205" s="16">
        <v>45866</v>
      </c>
      <c r="B205" s="10" t="s">
        <v>389</v>
      </c>
      <c r="C205" s="17">
        <v>20213260503</v>
      </c>
      <c r="D205" s="28" t="s">
        <v>390</v>
      </c>
      <c r="E205" s="13">
        <v>200000</v>
      </c>
      <c r="F205" s="5">
        <v>12</v>
      </c>
      <c r="G205" s="13">
        <v>76000</v>
      </c>
      <c r="H205" s="30">
        <f t="shared" si="12"/>
        <v>912000</v>
      </c>
    </row>
    <row r="206" spans="1:8" s="8" customFormat="1" x14ac:dyDescent="0.25">
      <c r="A206" s="16">
        <v>45867</v>
      </c>
      <c r="B206" s="10" t="s">
        <v>391</v>
      </c>
      <c r="C206" s="17">
        <v>20127963267</v>
      </c>
      <c r="D206" s="28" t="s">
        <v>392</v>
      </c>
      <c r="E206" s="13">
        <v>200000</v>
      </c>
      <c r="F206" s="5">
        <v>12</v>
      </c>
      <c r="G206" s="13">
        <v>76000</v>
      </c>
      <c r="H206" s="30">
        <f t="shared" si="12"/>
        <v>912000</v>
      </c>
    </row>
    <row r="207" spans="1:8" s="8" customFormat="1" x14ac:dyDescent="0.25">
      <c r="A207" s="16">
        <v>45867</v>
      </c>
      <c r="B207" s="10" t="s">
        <v>393</v>
      </c>
      <c r="C207" s="17">
        <v>23116821729</v>
      </c>
      <c r="D207" s="28" t="s">
        <v>394</v>
      </c>
      <c r="E207" s="13">
        <v>400000</v>
      </c>
      <c r="F207" s="5">
        <v>12</v>
      </c>
      <c r="G207" s="13">
        <v>152000</v>
      </c>
      <c r="H207" s="30">
        <f t="shared" si="12"/>
        <v>1824000</v>
      </c>
    </row>
    <row r="208" spans="1:8" s="8" customFormat="1" x14ac:dyDescent="0.25">
      <c r="A208" s="16">
        <v>45867</v>
      </c>
      <c r="B208" s="10" t="s">
        <v>395</v>
      </c>
      <c r="C208" s="17">
        <v>20130446923</v>
      </c>
      <c r="D208" s="28" t="s">
        <v>396</v>
      </c>
      <c r="E208" s="13">
        <v>300000</v>
      </c>
      <c r="F208" s="5">
        <v>12</v>
      </c>
      <c r="G208" s="13">
        <v>114000</v>
      </c>
      <c r="H208" s="30">
        <f t="shared" si="12"/>
        <v>1368000</v>
      </c>
    </row>
    <row r="209" spans="1:8" s="8" customFormat="1" x14ac:dyDescent="0.25">
      <c r="A209" s="16">
        <v>45867</v>
      </c>
      <c r="B209" s="10" t="s">
        <v>397</v>
      </c>
      <c r="C209" s="17">
        <v>27222552074</v>
      </c>
      <c r="D209" s="28" t="s">
        <v>398</v>
      </c>
      <c r="E209" s="13">
        <v>100000</v>
      </c>
      <c r="F209" s="5">
        <v>12</v>
      </c>
      <c r="G209" s="13">
        <v>38000</v>
      </c>
      <c r="H209" s="30">
        <f t="shared" si="12"/>
        <v>456000</v>
      </c>
    </row>
    <row r="210" spans="1:8" s="8" customFormat="1" x14ac:dyDescent="0.25">
      <c r="A210" s="16">
        <v>45868</v>
      </c>
      <c r="B210" s="10" t="s">
        <v>399</v>
      </c>
      <c r="C210" s="17">
        <v>20078548909</v>
      </c>
      <c r="D210" s="28" t="s">
        <v>400</v>
      </c>
      <c r="E210" s="13">
        <v>100000</v>
      </c>
      <c r="F210" s="5">
        <v>12</v>
      </c>
      <c r="G210" s="13">
        <v>38000</v>
      </c>
      <c r="H210" s="30">
        <f t="shared" si="12"/>
        <v>456000</v>
      </c>
    </row>
    <row r="211" spans="1:8" s="8" customFormat="1" x14ac:dyDescent="0.25">
      <c r="A211" s="16">
        <v>45868</v>
      </c>
      <c r="B211" s="10" t="s">
        <v>401</v>
      </c>
      <c r="C211" s="17">
        <v>20171880202</v>
      </c>
      <c r="D211" s="28" t="s">
        <v>402</v>
      </c>
      <c r="E211" s="13">
        <v>700000</v>
      </c>
      <c r="F211" s="5">
        <v>12</v>
      </c>
      <c r="G211" s="13">
        <v>266000</v>
      </c>
      <c r="H211" s="30">
        <f t="shared" si="12"/>
        <v>3192000</v>
      </c>
    </row>
    <row r="212" spans="1:8" s="8" customFormat="1" x14ac:dyDescent="0.25">
      <c r="A212" s="16">
        <v>45869</v>
      </c>
      <c r="B212" s="10" t="s">
        <v>403</v>
      </c>
      <c r="C212" s="17">
        <v>20254831825</v>
      </c>
      <c r="D212" s="28" t="s">
        <v>404</v>
      </c>
      <c r="E212" s="13">
        <v>200000</v>
      </c>
      <c r="F212" s="5">
        <v>12</v>
      </c>
      <c r="G212" s="13">
        <v>76000</v>
      </c>
      <c r="H212" s="30">
        <f t="shared" si="12"/>
        <v>912000</v>
      </c>
    </row>
    <row r="213" spans="1:8" s="8" customFormat="1" x14ac:dyDescent="0.25">
      <c r="A213" s="16">
        <v>45869</v>
      </c>
      <c r="B213" s="10" t="s">
        <v>405</v>
      </c>
      <c r="C213" s="17">
        <v>20268560484</v>
      </c>
      <c r="D213" s="28" t="s">
        <v>406</v>
      </c>
      <c r="E213" s="13">
        <v>100000</v>
      </c>
      <c r="F213" s="5">
        <v>12</v>
      </c>
      <c r="G213" s="13">
        <v>38000</v>
      </c>
      <c r="H213" s="30">
        <f t="shared" si="12"/>
        <v>456000</v>
      </c>
    </row>
    <row r="214" spans="1:8" s="8" customFormat="1" x14ac:dyDescent="0.25">
      <c r="A214" s="16">
        <v>45870</v>
      </c>
      <c r="B214" s="10" t="s">
        <v>407</v>
      </c>
      <c r="C214" s="17">
        <v>27254885687</v>
      </c>
      <c r="D214" s="28" t="s">
        <v>408</v>
      </c>
      <c r="E214" s="13">
        <v>300000</v>
      </c>
      <c r="F214" s="5">
        <v>12</v>
      </c>
      <c r="G214" s="13">
        <v>114000</v>
      </c>
      <c r="H214" s="30">
        <f t="shared" si="12"/>
        <v>1368000</v>
      </c>
    </row>
    <row r="215" spans="1:8" s="8" customFormat="1" x14ac:dyDescent="0.25">
      <c r="A215" s="16">
        <v>45875</v>
      </c>
      <c r="B215" s="10" t="s">
        <v>409</v>
      </c>
      <c r="C215" s="17">
        <v>27281725152</v>
      </c>
      <c r="D215" s="28" t="s">
        <v>410</v>
      </c>
      <c r="E215" s="13">
        <v>200000</v>
      </c>
      <c r="F215" s="5">
        <v>12</v>
      </c>
      <c r="G215" s="13">
        <v>76000</v>
      </c>
      <c r="H215" s="30">
        <f t="shared" si="12"/>
        <v>912000</v>
      </c>
    </row>
    <row r="216" spans="1:8" s="8" customFormat="1" x14ac:dyDescent="0.25">
      <c r="A216" s="16">
        <v>45875</v>
      </c>
      <c r="B216" s="10" t="s">
        <v>411</v>
      </c>
      <c r="C216" s="17">
        <v>20251175153</v>
      </c>
      <c r="D216" s="28" t="s">
        <v>412</v>
      </c>
      <c r="E216" s="13">
        <v>1000000</v>
      </c>
      <c r="F216" s="5">
        <v>12</v>
      </c>
      <c r="G216" s="13">
        <v>380000</v>
      </c>
      <c r="H216" s="30">
        <f t="shared" si="12"/>
        <v>4560000</v>
      </c>
    </row>
    <row r="217" spans="1:8" s="8" customFormat="1" x14ac:dyDescent="0.25">
      <c r="A217" s="16">
        <v>45875</v>
      </c>
      <c r="B217" s="10" t="s">
        <v>12</v>
      </c>
      <c r="C217" s="17">
        <v>20349934796</v>
      </c>
      <c r="D217" s="28" t="s">
        <v>13</v>
      </c>
      <c r="E217" s="13">
        <v>300000</v>
      </c>
      <c r="F217" s="5">
        <v>12</v>
      </c>
      <c r="G217" s="13">
        <v>114000</v>
      </c>
      <c r="H217" s="30">
        <f t="shared" si="12"/>
        <v>1368000</v>
      </c>
    </row>
    <row r="218" spans="1:8" s="8" customFormat="1" x14ac:dyDescent="0.25">
      <c r="A218" s="16">
        <v>45877</v>
      </c>
      <c r="B218" s="10" t="s">
        <v>413</v>
      </c>
      <c r="C218" s="17">
        <v>23186621484</v>
      </c>
      <c r="D218" s="28" t="s">
        <v>414</v>
      </c>
      <c r="E218" s="13">
        <v>1000000</v>
      </c>
      <c r="F218" s="5">
        <v>12</v>
      </c>
      <c r="G218" s="13">
        <v>380000</v>
      </c>
      <c r="H218" s="30">
        <f t="shared" si="12"/>
        <v>4560000</v>
      </c>
    </row>
    <row r="219" spans="1:8" s="8" customFormat="1" x14ac:dyDescent="0.25">
      <c r="A219" s="16">
        <v>45877</v>
      </c>
      <c r="B219" s="10" t="s">
        <v>60</v>
      </c>
      <c r="C219" s="17">
        <v>27216824895</v>
      </c>
      <c r="D219" s="28" t="s">
        <v>61</v>
      </c>
      <c r="E219" s="13">
        <v>700000</v>
      </c>
      <c r="F219" s="5">
        <v>12</v>
      </c>
      <c r="G219" s="13">
        <v>266000</v>
      </c>
      <c r="H219" s="30">
        <f t="shared" si="12"/>
        <v>3192000</v>
      </c>
    </row>
    <row r="220" spans="1:8" s="8" customFormat="1" x14ac:dyDescent="0.25">
      <c r="A220" s="16">
        <v>45877</v>
      </c>
      <c r="B220" s="10" t="s">
        <v>415</v>
      </c>
      <c r="C220" s="17">
        <v>27271559645</v>
      </c>
      <c r="D220" s="28" t="s">
        <v>416</v>
      </c>
      <c r="E220" s="13">
        <v>100000</v>
      </c>
      <c r="F220" s="5">
        <v>12</v>
      </c>
      <c r="G220" s="13">
        <v>38000</v>
      </c>
      <c r="H220" s="30">
        <f t="shared" si="12"/>
        <v>456000</v>
      </c>
    </row>
    <row r="221" spans="1:8" s="8" customFormat="1" x14ac:dyDescent="0.25">
      <c r="A221" s="16">
        <v>45877</v>
      </c>
      <c r="B221" s="10" t="s">
        <v>193</v>
      </c>
      <c r="C221" s="17">
        <v>20318141917</v>
      </c>
      <c r="D221" s="28" t="s">
        <v>194</v>
      </c>
      <c r="E221" s="13">
        <v>200000</v>
      </c>
      <c r="F221" s="5">
        <v>12</v>
      </c>
      <c r="G221" s="13">
        <v>76000</v>
      </c>
      <c r="H221" s="30">
        <f t="shared" si="12"/>
        <v>912000</v>
      </c>
    </row>
    <row r="222" spans="1:8" s="8" customFormat="1" x14ac:dyDescent="0.25">
      <c r="A222" s="16">
        <v>45880</v>
      </c>
      <c r="B222" s="10" t="s">
        <v>417</v>
      </c>
      <c r="C222" s="17">
        <v>20225156221</v>
      </c>
      <c r="D222" s="28" t="s">
        <v>418</v>
      </c>
      <c r="E222" s="13">
        <v>200000</v>
      </c>
      <c r="F222" s="5">
        <v>12</v>
      </c>
      <c r="G222" s="13">
        <v>76000</v>
      </c>
      <c r="H222" s="2">
        <f>+F222*G222</f>
        <v>912000</v>
      </c>
    </row>
    <row r="223" spans="1:8" s="8" customFormat="1" x14ac:dyDescent="0.25">
      <c r="A223" s="16">
        <v>45880</v>
      </c>
      <c r="B223" s="10" t="s">
        <v>419</v>
      </c>
      <c r="C223" s="17">
        <v>20127960500</v>
      </c>
      <c r="D223" s="28" t="s">
        <v>420</v>
      </c>
      <c r="E223" s="13">
        <v>100000</v>
      </c>
      <c r="F223" s="5">
        <v>12</v>
      </c>
      <c r="G223" s="13">
        <v>38000</v>
      </c>
      <c r="H223" s="2">
        <f t="shared" ref="H223:H250" si="13">+F223*G223</f>
        <v>456000</v>
      </c>
    </row>
    <row r="224" spans="1:8" s="8" customFormat="1" x14ac:dyDescent="0.25">
      <c r="A224" s="16">
        <v>45880</v>
      </c>
      <c r="B224" s="10" t="s">
        <v>421</v>
      </c>
      <c r="C224" s="17">
        <v>20175296531</v>
      </c>
      <c r="D224" s="28" t="s">
        <v>422</v>
      </c>
      <c r="E224" s="13">
        <v>300000</v>
      </c>
      <c r="F224" s="5">
        <v>12</v>
      </c>
      <c r="G224" s="13">
        <v>114000</v>
      </c>
      <c r="H224" s="2">
        <f t="shared" si="13"/>
        <v>1368000</v>
      </c>
    </row>
    <row r="225" spans="1:8" s="8" customFormat="1" x14ac:dyDescent="0.25">
      <c r="A225" s="16">
        <v>45880</v>
      </c>
      <c r="B225" s="10" t="s">
        <v>423</v>
      </c>
      <c r="C225" s="17">
        <v>27178903581</v>
      </c>
      <c r="D225" s="28" t="s">
        <v>424</v>
      </c>
      <c r="E225" s="13">
        <v>500000</v>
      </c>
      <c r="F225" s="5">
        <v>12</v>
      </c>
      <c r="G225" s="13">
        <v>190000</v>
      </c>
      <c r="H225" s="2">
        <f t="shared" si="13"/>
        <v>2280000</v>
      </c>
    </row>
    <row r="226" spans="1:8" s="8" customFormat="1" x14ac:dyDescent="0.25">
      <c r="A226" s="16">
        <v>45880</v>
      </c>
      <c r="B226" s="10" t="s">
        <v>425</v>
      </c>
      <c r="C226" s="17">
        <v>20281724690</v>
      </c>
      <c r="D226" s="28" t="s">
        <v>426</v>
      </c>
      <c r="E226" s="13">
        <v>200000</v>
      </c>
      <c r="F226" s="5">
        <v>12</v>
      </c>
      <c r="G226" s="13">
        <v>76000</v>
      </c>
      <c r="H226" s="2">
        <f t="shared" si="13"/>
        <v>912000</v>
      </c>
    </row>
    <row r="227" spans="1:8" s="8" customFormat="1" x14ac:dyDescent="0.25">
      <c r="A227" s="16">
        <v>45881</v>
      </c>
      <c r="B227" s="10" t="s">
        <v>427</v>
      </c>
      <c r="C227" s="17">
        <v>27178596964</v>
      </c>
      <c r="D227" s="28" t="s">
        <v>428</v>
      </c>
      <c r="E227" s="13">
        <v>300000</v>
      </c>
      <c r="F227" s="5">
        <v>12</v>
      </c>
      <c r="G227" s="13">
        <v>114000</v>
      </c>
      <c r="H227" s="2">
        <f t="shared" si="13"/>
        <v>1368000</v>
      </c>
    </row>
    <row r="228" spans="1:8" s="8" customFormat="1" x14ac:dyDescent="0.25">
      <c r="A228" s="16">
        <v>45882</v>
      </c>
      <c r="B228" s="10" t="s">
        <v>429</v>
      </c>
      <c r="C228" s="17">
        <v>27172962042</v>
      </c>
      <c r="D228" s="28" t="s">
        <v>430</v>
      </c>
      <c r="E228" s="13">
        <v>200000</v>
      </c>
      <c r="F228" s="5">
        <v>12</v>
      </c>
      <c r="G228" s="13">
        <v>76000</v>
      </c>
      <c r="H228" s="2">
        <f t="shared" si="13"/>
        <v>912000</v>
      </c>
    </row>
    <row r="229" spans="1:8" s="8" customFormat="1" x14ac:dyDescent="0.25">
      <c r="A229" s="16">
        <v>45882</v>
      </c>
      <c r="B229" s="10" t="s">
        <v>431</v>
      </c>
      <c r="C229" s="17">
        <v>23265800114</v>
      </c>
      <c r="D229" s="28" t="s">
        <v>432</v>
      </c>
      <c r="E229" s="13">
        <v>1000000</v>
      </c>
      <c r="F229" s="5">
        <v>12</v>
      </c>
      <c r="G229" s="13">
        <v>380000</v>
      </c>
      <c r="H229" s="2">
        <f t="shared" si="13"/>
        <v>4560000</v>
      </c>
    </row>
    <row r="230" spans="1:8" s="8" customFormat="1" x14ac:dyDescent="0.25">
      <c r="A230" s="16">
        <v>45883</v>
      </c>
      <c r="B230" s="10" t="s">
        <v>433</v>
      </c>
      <c r="C230" s="17">
        <v>27047106023</v>
      </c>
      <c r="D230" s="28" t="s">
        <v>434</v>
      </c>
      <c r="E230" s="13">
        <v>100000</v>
      </c>
      <c r="F230" s="5">
        <v>12</v>
      </c>
      <c r="G230" s="13">
        <v>38000</v>
      </c>
      <c r="H230" s="2">
        <f t="shared" si="13"/>
        <v>456000</v>
      </c>
    </row>
    <row r="231" spans="1:8" s="8" customFormat="1" x14ac:dyDescent="0.25">
      <c r="A231" s="16">
        <v>45883</v>
      </c>
      <c r="B231" s="10" t="s">
        <v>435</v>
      </c>
      <c r="C231" s="17">
        <v>20363479570</v>
      </c>
      <c r="D231" s="28" t="s">
        <v>436</v>
      </c>
      <c r="E231" s="13">
        <v>500000</v>
      </c>
      <c r="F231" s="5">
        <v>12</v>
      </c>
      <c r="G231" s="13">
        <v>190000</v>
      </c>
      <c r="H231" s="2">
        <f t="shared" si="13"/>
        <v>2280000</v>
      </c>
    </row>
    <row r="232" spans="1:8" s="8" customFormat="1" x14ac:dyDescent="0.25">
      <c r="A232" s="16">
        <v>45883</v>
      </c>
      <c r="B232" s="10" t="s">
        <v>437</v>
      </c>
      <c r="C232" s="17">
        <v>20298380979</v>
      </c>
      <c r="D232" s="28" t="s">
        <v>438</v>
      </c>
      <c r="E232" s="13">
        <v>300000</v>
      </c>
      <c r="F232" s="5">
        <v>12</v>
      </c>
      <c r="G232" s="13">
        <v>114000</v>
      </c>
      <c r="H232" s="2">
        <f t="shared" si="13"/>
        <v>1368000</v>
      </c>
    </row>
    <row r="233" spans="1:8" s="8" customFormat="1" x14ac:dyDescent="0.25">
      <c r="A233" s="16">
        <v>45883</v>
      </c>
      <c r="B233" s="10" t="s">
        <v>439</v>
      </c>
      <c r="C233" s="17">
        <v>27281032696</v>
      </c>
      <c r="D233" s="28" t="s">
        <v>95</v>
      </c>
      <c r="E233" s="13">
        <v>500000</v>
      </c>
      <c r="F233" s="5">
        <v>12</v>
      </c>
      <c r="G233" s="13">
        <v>190000</v>
      </c>
      <c r="H233" s="2">
        <f t="shared" si="13"/>
        <v>2280000</v>
      </c>
    </row>
    <row r="234" spans="1:8" s="8" customFormat="1" x14ac:dyDescent="0.25">
      <c r="A234" s="16">
        <v>45883</v>
      </c>
      <c r="B234" s="10" t="s">
        <v>440</v>
      </c>
      <c r="C234" s="17">
        <v>23226315624</v>
      </c>
      <c r="D234" s="28" t="s">
        <v>441</v>
      </c>
      <c r="E234" s="13">
        <v>100000</v>
      </c>
      <c r="F234" s="5">
        <v>12</v>
      </c>
      <c r="G234" s="13">
        <v>38000</v>
      </c>
      <c r="H234" s="2">
        <f t="shared" si="13"/>
        <v>456000</v>
      </c>
    </row>
    <row r="235" spans="1:8" s="8" customFormat="1" x14ac:dyDescent="0.25">
      <c r="A235" s="16">
        <v>45888</v>
      </c>
      <c r="B235" s="10" t="s">
        <v>442</v>
      </c>
      <c r="C235" s="17">
        <v>27326249470</v>
      </c>
      <c r="D235" s="28" t="s">
        <v>443</v>
      </c>
      <c r="E235" s="13">
        <v>200000</v>
      </c>
      <c r="F235" s="5">
        <v>12</v>
      </c>
      <c r="G235" s="13">
        <v>76000</v>
      </c>
      <c r="H235" s="2">
        <f t="shared" si="13"/>
        <v>912000</v>
      </c>
    </row>
    <row r="236" spans="1:8" s="8" customFormat="1" x14ac:dyDescent="0.25">
      <c r="A236" s="16">
        <v>45888</v>
      </c>
      <c r="B236" s="10" t="s">
        <v>444</v>
      </c>
      <c r="C236" s="17">
        <v>27220577339</v>
      </c>
      <c r="D236" s="28" t="s">
        <v>445</v>
      </c>
      <c r="E236" s="13">
        <v>100000</v>
      </c>
      <c r="F236" s="5">
        <v>12</v>
      </c>
      <c r="G236" s="13">
        <v>38000</v>
      </c>
      <c r="H236" s="2">
        <f t="shared" si="13"/>
        <v>456000</v>
      </c>
    </row>
    <row r="237" spans="1:8" s="8" customFormat="1" x14ac:dyDescent="0.25">
      <c r="A237" s="16">
        <v>45889</v>
      </c>
      <c r="B237" s="10" t="s">
        <v>239</v>
      </c>
      <c r="C237" s="17">
        <v>27240985964</v>
      </c>
      <c r="D237" s="28" t="s">
        <v>240</v>
      </c>
      <c r="E237" s="13">
        <v>100000</v>
      </c>
      <c r="F237" s="5">
        <v>12</v>
      </c>
      <c r="G237" s="13">
        <v>38000</v>
      </c>
      <c r="H237" s="2">
        <f t="shared" si="13"/>
        <v>456000</v>
      </c>
    </row>
    <row r="238" spans="1:8" s="8" customFormat="1" x14ac:dyDescent="0.25">
      <c r="A238" s="16">
        <v>45889</v>
      </c>
      <c r="B238" s="10" t="s">
        <v>446</v>
      </c>
      <c r="C238" s="17">
        <v>27264337874</v>
      </c>
      <c r="D238" s="28" t="s">
        <v>449</v>
      </c>
      <c r="E238" s="13">
        <v>300000</v>
      </c>
      <c r="F238" s="5">
        <v>12</v>
      </c>
      <c r="G238" s="13">
        <v>114000</v>
      </c>
      <c r="H238" s="2">
        <f t="shared" si="13"/>
        <v>1368000</v>
      </c>
    </row>
    <row r="239" spans="1:8" s="8" customFormat="1" x14ac:dyDescent="0.25">
      <c r="A239" s="16">
        <v>45889</v>
      </c>
      <c r="B239" s="10" t="s">
        <v>447</v>
      </c>
      <c r="C239" s="17">
        <v>27209253408</v>
      </c>
      <c r="D239" s="28" t="s">
        <v>450</v>
      </c>
      <c r="E239" s="13">
        <v>1000000</v>
      </c>
      <c r="F239" s="5">
        <v>12</v>
      </c>
      <c r="G239" s="13">
        <v>380000</v>
      </c>
      <c r="H239" s="2">
        <f t="shared" si="13"/>
        <v>4560000</v>
      </c>
    </row>
    <row r="240" spans="1:8" s="8" customFormat="1" x14ac:dyDescent="0.25">
      <c r="A240" s="16">
        <v>45889</v>
      </c>
      <c r="B240" s="10" t="s">
        <v>448</v>
      </c>
      <c r="C240" s="17">
        <v>20278375235</v>
      </c>
      <c r="D240" s="28" t="s">
        <v>451</v>
      </c>
      <c r="E240" s="13">
        <v>500000</v>
      </c>
      <c r="F240" s="5">
        <v>12</v>
      </c>
      <c r="G240" s="13">
        <v>190000</v>
      </c>
      <c r="H240" s="2">
        <f t="shared" si="13"/>
        <v>2280000</v>
      </c>
    </row>
    <row r="241" spans="1:8" s="8" customFormat="1" x14ac:dyDescent="0.25">
      <c r="A241" s="16">
        <v>45890</v>
      </c>
      <c r="B241" s="10" t="s">
        <v>452</v>
      </c>
      <c r="C241" s="17">
        <v>20308200931</v>
      </c>
      <c r="D241" s="28" t="s">
        <v>453</v>
      </c>
      <c r="E241" s="13">
        <v>100000</v>
      </c>
      <c r="F241" s="5">
        <v>12</v>
      </c>
      <c r="G241" s="13">
        <v>38000</v>
      </c>
      <c r="H241" s="2">
        <f t="shared" si="13"/>
        <v>456000</v>
      </c>
    </row>
    <row r="242" spans="1:8" s="8" customFormat="1" x14ac:dyDescent="0.25">
      <c r="A242" s="16">
        <v>45890</v>
      </c>
      <c r="B242" s="10" t="s">
        <v>454</v>
      </c>
      <c r="C242" s="17">
        <v>20358119620</v>
      </c>
      <c r="D242" s="28" t="s">
        <v>455</v>
      </c>
      <c r="E242" s="13">
        <v>100000</v>
      </c>
      <c r="F242" s="5">
        <v>12</v>
      </c>
      <c r="G242" s="13">
        <v>38000</v>
      </c>
      <c r="H242" s="2">
        <f t="shared" si="13"/>
        <v>456000</v>
      </c>
    </row>
    <row r="243" spans="1:8" s="8" customFormat="1" x14ac:dyDescent="0.25">
      <c r="A243" s="16">
        <v>45891</v>
      </c>
      <c r="B243" s="10" t="s">
        <v>42</v>
      </c>
      <c r="C243" s="17">
        <v>27225884809</v>
      </c>
      <c r="D243" s="28" t="s">
        <v>43</v>
      </c>
      <c r="E243" s="13">
        <v>500000</v>
      </c>
      <c r="F243" s="5">
        <v>12</v>
      </c>
      <c r="G243" s="13">
        <v>190000</v>
      </c>
      <c r="H243" s="2">
        <f t="shared" si="13"/>
        <v>2280000</v>
      </c>
    </row>
    <row r="244" spans="1:8" s="8" customFormat="1" x14ac:dyDescent="0.25">
      <c r="A244" s="16">
        <v>45891</v>
      </c>
      <c r="B244" s="10" t="s">
        <v>456</v>
      </c>
      <c r="C244" s="17">
        <v>27267356519</v>
      </c>
      <c r="D244" s="28" t="s">
        <v>457</v>
      </c>
      <c r="E244" s="13">
        <v>500000</v>
      </c>
      <c r="F244" s="5">
        <v>12</v>
      </c>
      <c r="G244" s="13">
        <v>190000</v>
      </c>
      <c r="H244" s="2">
        <f t="shared" si="13"/>
        <v>2280000</v>
      </c>
    </row>
    <row r="245" spans="1:8" s="8" customFormat="1" x14ac:dyDescent="0.25">
      <c r="A245" s="16">
        <v>45891</v>
      </c>
      <c r="B245" s="10" t="s">
        <v>321</v>
      </c>
      <c r="C245" s="17">
        <v>27170809101</v>
      </c>
      <c r="D245" s="28" t="s">
        <v>322</v>
      </c>
      <c r="E245" s="13">
        <v>500000</v>
      </c>
      <c r="F245" s="5">
        <v>12</v>
      </c>
      <c r="G245" s="13">
        <v>190000</v>
      </c>
      <c r="H245" s="2">
        <f t="shared" si="13"/>
        <v>2280000</v>
      </c>
    </row>
    <row r="246" spans="1:8" s="8" customFormat="1" x14ac:dyDescent="0.25">
      <c r="A246" s="16">
        <v>45891</v>
      </c>
      <c r="B246" s="10" t="s">
        <v>458</v>
      </c>
      <c r="C246" s="17">
        <v>23336479649</v>
      </c>
      <c r="D246" s="28" t="s">
        <v>459</v>
      </c>
      <c r="E246" s="13">
        <v>1000000</v>
      </c>
      <c r="F246" s="5">
        <v>12</v>
      </c>
      <c r="G246" s="13">
        <v>380000</v>
      </c>
      <c r="H246" s="2">
        <f t="shared" si="13"/>
        <v>4560000</v>
      </c>
    </row>
    <row r="247" spans="1:8" s="8" customFormat="1" x14ac:dyDescent="0.25">
      <c r="A247" s="16">
        <v>45894</v>
      </c>
      <c r="B247" s="10" t="s">
        <v>460</v>
      </c>
      <c r="C247" s="17">
        <v>27130675749</v>
      </c>
      <c r="D247" s="28" t="s">
        <v>461</v>
      </c>
      <c r="E247" s="13">
        <v>500000</v>
      </c>
      <c r="F247" s="5">
        <v>12</v>
      </c>
      <c r="G247" s="13">
        <v>190000</v>
      </c>
      <c r="H247" s="2">
        <f t="shared" si="13"/>
        <v>2280000</v>
      </c>
    </row>
    <row r="248" spans="1:8" s="8" customFormat="1" x14ac:dyDescent="0.25">
      <c r="A248" s="16">
        <v>45895</v>
      </c>
      <c r="B248" s="10" t="s">
        <v>462</v>
      </c>
      <c r="C248" s="17">
        <v>20169343021</v>
      </c>
      <c r="D248" s="28" t="s">
        <v>463</v>
      </c>
      <c r="E248" s="13">
        <v>800000</v>
      </c>
      <c r="F248" s="5">
        <v>12</v>
      </c>
      <c r="G248" s="13">
        <v>304000</v>
      </c>
      <c r="H248" s="2">
        <f t="shared" si="13"/>
        <v>3648000</v>
      </c>
    </row>
    <row r="249" spans="1:8" s="8" customFormat="1" x14ac:dyDescent="0.25">
      <c r="A249" s="16">
        <v>45895</v>
      </c>
      <c r="B249" s="10" t="s">
        <v>99</v>
      </c>
      <c r="C249" s="17">
        <v>23136041924</v>
      </c>
      <c r="D249" s="28" t="s">
        <v>102</v>
      </c>
      <c r="E249" s="13">
        <v>200000</v>
      </c>
      <c r="F249" s="5">
        <v>12</v>
      </c>
      <c r="G249" s="13">
        <v>76000</v>
      </c>
      <c r="H249" s="2">
        <f t="shared" si="13"/>
        <v>912000</v>
      </c>
    </row>
    <row r="250" spans="1:8" s="8" customFormat="1" x14ac:dyDescent="0.25">
      <c r="A250" s="16">
        <v>45896</v>
      </c>
      <c r="B250" s="10" t="s">
        <v>464</v>
      </c>
      <c r="C250" s="17">
        <v>27292172147</v>
      </c>
      <c r="D250" s="28" t="s">
        <v>465</v>
      </c>
      <c r="E250" s="13">
        <v>1000000</v>
      </c>
      <c r="F250" s="5">
        <v>12</v>
      </c>
      <c r="G250" s="13">
        <v>380000</v>
      </c>
      <c r="H250" s="2">
        <f t="shared" si="13"/>
        <v>4560000</v>
      </c>
    </row>
    <row r="251" spans="1:8" s="8" customFormat="1" x14ac:dyDescent="0.25">
      <c r="A251" s="16">
        <v>45898</v>
      </c>
      <c r="B251" s="10" t="s">
        <v>466</v>
      </c>
      <c r="C251" s="17">
        <v>23235610329</v>
      </c>
      <c r="D251" s="28" t="s">
        <v>467</v>
      </c>
      <c r="E251" s="13">
        <v>1000000</v>
      </c>
      <c r="F251" s="5">
        <v>12</v>
      </c>
      <c r="G251" s="13">
        <v>380000</v>
      </c>
      <c r="H251" s="2">
        <f>+F251*G251</f>
        <v>4560000</v>
      </c>
    </row>
    <row r="252" spans="1:8" s="8" customFormat="1" x14ac:dyDescent="0.25">
      <c r="A252" s="16">
        <v>45898</v>
      </c>
      <c r="B252" s="10" t="s">
        <v>201</v>
      </c>
      <c r="C252" s="17">
        <v>20116823358</v>
      </c>
      <c r="D252" s="28" t="s">
        <v>202</v>
      </c>
      <c r="E252" s="13">
        <v>300000</v>
      </c>
      <c r="F252" s="5">
        <v>12</v>
      </c>
      <c r="G252" s="13">
        <v>114000</v>
      </c>
      <c r="H252" s="2">
        <f>+F252*G252</f>
        <v>1368000</v>
      </c>
    </row>
    <row r="253" spans="1:8" s="8" customFormat="1" x14ac:dyDescent="0.25">
      <c r="A253" s="16">
        <v>45902</v>
      </c>
      <c r="B253" s="10" t="s">
        <v>468</v>
      </c>
      <c r="C253" s="17">
        <v>20113664453</v>
      </c>
      <c r="D253" s="28" t="s">
        <v>469</v>
      </c>
      <c r="E253" s="13">
        <v>500000</v>
      </c>
      <c r="F253" s="5">
        <v>12</v>
      </c>
      <c r="G253" s="13">
        <v>190000</v>
      </c>
      <c r="H253" s="2">
        <f t="shared" ref="H253:H258" si="14">+G253*F253</f>
        <v>2280000</v>
      </c>
    </row>
    <row r="254" spans="1:8" s="8" customFormat="1" x14ac:dyDescent="0.25">
      <c r="A254" s="16">
        <v>45902</v>
      </c>
      <c r="B254" s="10" t="s">
        <v>470</v>
      </c>
      <c r="C254" s="17">
        <v>27175796776</v>
      </c>
      <c r="D254" s="28" t="s">
        <v>471</v>
      </c>
      <c r="E254" s="13">
        <v>500000</v>
      </c>
      <c r="F254" s="5">
        <v>12</v>
      </c>
      <c r="G254" s="13">
        <v>190000</v>
      </c>
      <c r="H254" s="2">
        <f t="shared" si="14"/>
        <v>2280000</v>
      </c>
    </row>
    <row r="255" spans="1:8" s="8" customFormat="1" x14ac:dyDescent="0.25">
      <c r="A255" s="16">
        <v>45904</v>
      </c>
      <c r="B255" s="10" t="s">
        <v>472</v>
      </c>
      <c r="C255" s="17">
        <v>27178903360</v>
      </c>
      <c r="D255" s="28" t="s">
        <v>473</v>
      </c>
      <c r="E255" s="13">
        <v>500000</v>
      </c>
      <c r="F255" s="5">
        <v>12</v>
      </c>
      <c r="G255" s="13">
        <v>190000</v>
      </c>
      <c r="H255" s="2">
        <f t="shared" si="14"/>
        <v>2280000</v>
      </c>
    </row>
    <row r="256" spans="1:8" s="8" customFormat="1" x14ac:dyDescent="0.25">
      <c r="A256" s="16">
        <v>45905</v>
      </c>
      <c r="B256" s="10" t="s">
        <v>474</v>
      </c>
      <c r="C256" s="17">
        <v>20399968438</v>
      </c>
      <c r="D256" s="28" t="s">
        <v>475</v>
      </c>
      <c r="E256" s="13">
        <v>500000</v>
      </c>
      <c r="F256" s="5">
        <v>12</v>
      </c>
      <c r="G256" s="13">
        <v>190000</v>
      </c>
      <c r="H256" s="2">
        <f t="shared" si="14"/>
        <v>2280000</v>
      </c>
    </row>
    <row r="257" spans="1:8" s="8" customFormat="1" x14ac:dyDescent="0.25">
      <c r="A257" s="16">
        <v>45909</v>
      </c>
      <c r="B257" s="10" t="s">
        <v>20</v>
      </c>
      <c r="C257" s="17">
        <v>27236781254</v>
      </c>
      <c r="D257" s="28" t="s">
        <v>21</v>
      </c>
      <c r="E257" s="13">
        <v>200000</v>
      </c>
      <c r="F257" s="5">
        <v>12</v>
      </c>
      <c r="G257" s="13">
        <v>76000</v>
      </c>
      <c r="H257" s="2">
        <f t="shared" si="14"/>
        <v>912000</v>
      </c>
    </row>
    <row r="258" spans="1:8" s="8" customFormat="1" x14ac:dyDescent="0.25">
      <c r="A258" s="16">
        <v>45909</v>
      </c>
      <c r="B258" s="10" t="s">
        <v>476</v>
      </c>
      <c r="C258" s="17">
        <v>27333282521</v>
      </c>
      <c r="D258" s="28" t="s">
        <v>477</v>
      </c>
      <c r="E258" s="13">
        <v>100000</v>
      </c>
      <c r="F258" s="5">
        <v>12</v>
      </c>
      <c r="G258" s="13">
        <v>38000</v>
      </c>
      <c r="H258" s="2">
        <f t="shared" si="14"/>
        <v>456000</v>
      </c>
    </row>
    <row r="259" spans="1:8" s="8" customFormat="1" x14ac:dyDescent="0.25">
      <c r="A259" s="16">
        <v>45910</v>
      </c>
      <c r="B259" s="10" t="s">
        <v>478</v>
      </c>
      <c r="C259" s="17">
        <v>27203086887</v>
      </c>
      <c r="D259" s="28" t="s">
        <v>479</v>
      </c>
      <c r="E259" s="13">
        <v>500000</v>
      </c>
      <c r="F259" s="5">
        <v>12</v>
      </c>
      <c r="G259" s="13">
        <v>190000</v>
      </c>
      <c r="H259" s="2">
        <f t="shared" ref="H259:H273" si="15">+G259*F259</f>
        <v>2280000</v>
      </c>
    </row>
    <row r="260" spans="1:8" s="8" customFormat="1" x14ac:dyDescent="0.25">
      <c r="A260" s="16">
        <v>45910</v>
      </c>
      <c r="B260" s="10" t="s">
        <v>480</v>
      </c>
      <c r="C260" s="17">
        <v>27137189017</v>
      </c>
      <c r="D260" s="28" t="s">
        <v>481</v>
      </c>
      <c r="E260" s="13">
        <v>700000</v>
      </c>
      <c r="F260" s="5">
        <v>12</v>
      </c>
      <c r="G260" s="13">
        <v>266000</v>
      </c>
      <c r="H260" s="2">
        <f t="shared" si="15"/>
        <v>3192000</v>
      </c>
    </row>
    <row r="261" spans="1:8" s="8" customFormat="1" x14ac:dyDescent="0.25">
      <c r="A261" s="16">
        <v>45910</v>
      </c>
      <c r="B261" s="10" t="s">
        <v>482</v>
      </c>
      <c r="C261" s="17">
        <v>27322828166</v>
      </c>
      <c r="D261" s="28" t="s">
        <v>483</v>
      </c>
      <c r="E261" s="13">
        <v>400000</v>
      </c>
      <c r="F261" s="5">
        <v>12</v>
      </c>
      <c r="G261" s="13">
        <v>152000</v>
      </c>
      <c r="H261" s="2">
        <f t="shared" si="15"/>
        <v>1824000</v>
      </c>
    </row>
    <row r="262" spans="1:8" s="8" customFormat="1" x14ac:dyDescent="0.25">
      <c r="A262" s="16">
        <v>45910</v>
      </c>
      <c r="B262" s="10" t="s">
        <v>484</v>
      </c>
      <c r="C262" s="17">
        <v>27107334772</v>
      </c>
      <c r="D262" s="28" t="s">
        <v>485</v>
      </c>
      <c r="E262" s="13">
        <v>500000</v>
      </c>
      <c r="F262" s="5">
        <v>12</v>
      </c>
      <c r="G262" s="13">
        <v>190000</v>
      </c>
      <c r="H262" s="2">
        <f t="shared" si="15"/>
        <v>2280000</v>
      </c>
    </row>
    <row r="263" spans="1:8" s="8" customFormat="1" x14ac:dyDescent="0.25">
      <c r="A263" s="16">
        <v>45910</v>
      </c>
      <c r="B263" s="10" t="s">
        <v>486</v>
      </c>
      <c r="C263" s="17">
        <v>27229200017</v>
      </c>
      <c r="D263" s="28" t="s">
        <v>487</v>
      </c>
      <c r="E263" s="13">
        <v>500000</v>
      </c>
      <c r="F263" s="5">
        <v>12</v>
      </c>
      <c r="G263" s="13">
        <v>190000</v>
      </c>
      <c r="H263" s="2">
        <f t="shared" si="15"/>
        <v>2280000</v>
      </c>
    </row>
    <row r="264" spans="1:8" s="8" customFormat="1" x14ac:dyDescent="0.25">
      <c r="A264" s="16">
        <v>45910</v>
      </c>
      <c r="B264" s="10" t="s">
        <v>488</v>
      </c>
      <c r="C264" s="17">
        <v>23143247384</v>
      </c>
      <c r="D264" s="28" t="s">
        <v>489</v>
      </c>
      <c r="E264" s="13">
        <v>400000</v>
      </c>
      <c r="F264" s="5">
        <v>12</v>
      </c>
      <c r="G264" s="13">
        <v>152000</v>
      </c>
      <c r="H264" s="2">
        <f t="shared" si="15"/>
        <v>1824000</v>
      </c>
    </row>
    <row r="265" spans="1:8" s="8" customFormat="1" x14ac:dyDescent="0.25">
      <c r="A265" s="16">
        <v>45910</v>
      </c>
      <c r="B265" s="10" t="s">
        <v>490</v>
      </c>
      <c r="C265" s="17">
        <v>20213264959</v>
      </c>
      <c r="D265" s="28" t="s">
        <v>491</v>
      </c>
      <c r="E265" s="13">
        <v>1000000</v>
      </c>
      <c r="F265" s="5">
        <v>12</v>
      </c>
      <c r="G265" s="13">
        <v>380000</v>
      </c>
      <c r="H265" s="2">
        <f t="shared" si="15"/>
        <v>4560000</v>
      </c>
    </row>
    <row r="266" spans="1:8" s="8" customFormat="1" x14ac:dyDescent="0.25">
      <c r="A266" s="16">
        <v>45910</v>
      </c>
      <c r="B266" s="10" t="s">
        <v>492</v>
      </c>
      <c r="C266" s="17">
        <v>20330490803</v>
      </c>
      <c r="D266" s="28" t="s">
        <v>493</v>
      </c>
      <c r="E266" s="13">
        <v>200000</v>
      </c>
      <c r="F266" s="5">
        <v>12</v>
      </c>
      <c r="G266" s="13">
        <v>76000</v>
      </c>
      <c r="H266" s="2">
        <f t="shared" si="15"/>
        <v>912000</v>
      </c>
    </row>
    <row r="267" spans="1:8" s="8" customFormat="1" x14ac:dyDescent="0.25">
      <c r="A267" s="16">
        <v>45911</v>
      </c>
      <c r="B267" s="10" t="s">
        <v>494</v>
      </c>
      <c r="C267" s="17">
        <v>27174126947</v>
      </c>
      <c r="D267" s="28" t="s">
        <v>495</v>
      </c>
      <c r="E267" s="13">
        <v>600000</v>
      </c>
      <c r="F267" s="5">
        <v>12</v>
      </c>
      <c r="G267" s="13">
        <v>228000</v>
      </c>
      <c r="H267" s="2">
        <f t="shared" si="15"/>
        <v>2736000</v>
      </c>
    </row>
    <row r="268" spans="1:8" s="8" customFormat="1" x14ac:dyDescent="0.25">
      <c r="A268" s="16">
        <v>45911</v>
      </c>
      <c r="B268" s="10" t="s">
        <v>118</v>
      </c>
      <c r="C268" s="17">
        <v>27120041482</v>
      </c>
      <c r="D268" s="28" t="s">
        <v>119</v>
      </c>
      <c r="E268" s="13">
        <v>200000</v>
      </c>
      <c r="F268" s="5">
        <v>12</v>
      </c>
      <c r="G268" s="13">
        <v>76000</v>
      </c>
      <c r="H268" s="2">
        <f t="shared" si="15"/>
        <v>912000</v>
      </c>
    </row>
    <row r="269" spans="1:8" s="8" customFormat="1" x14ac:dyDescent="0.25">
      <c r="A269" s="16">
        <v>45911</v>
      </c>
      <c r="B269" s="10" t="s">
        <v>496</v>
      </c>
      <c r="C269" s="17">
        <v>20326816613</v>
      </c>
      <c r="D269" s="28" t="s">
        <v>497</v>
      </c>
      <c r="E269" s="13">
        <v>200000</v>
      </c>
      <c r="F269" s="5">
        <v>12</v>
      </c>
      <c r="G269" s="13">
        <v>76000</v>
      </c>
      <c r="H269" s="2">
        <f t="shared" si="15"/>
        <v>912000</v>
      </c>
    </row>
    <row r="270" spans="1:8" s="8" customFormat="1" x14ac:dyDescent="0.25">
      <c r="A270" s="16">
        <v>45911</v>
      </c>
      <c r="B270" s="10" t="s">
        <v>498</v>
      </c>
      <c r="C270" s="17">
        <v>27205886570</v>
      </c>
      <c r="D270" s="28" t="s">
        <v>499</v>
      </c>
      <c r="E270" s="13">
        <v>1000000</v>
      </c>
      <c r="F270" s="5">
        <v>12</v>
      </c>
      <c r="G270" s="13">
        <v>380000</v>
      </c>
      <c r="H270" s="2">
        <f t="shared" si="15"/>
        <v>4560000</v>
      </c>
    </row>
    <row r="271" spans="1:8" s="8" customFormat="1" x14ac:dyDescent="0.25">
      <c r="A271" s="16">
        <v>45912</v>
      </c>
      <c r="B271" s="10" t="s">
        <v>165</v>
      </c>
      <c r="C271" s="17">
        <v>27167590255</v>
      </c>
      <c r="D271" s="28" t="s">
        <v>166</v>
      </c>
      <c r="E271" s="13">
        <v>100000</v>
      </c>
      <c r="F271" s="5">
        <v>12</v>
      </c>
      <c r="G271" s="13">
        <v>38000</v>
      </c>
      <c r="H271" s="2">
        <f t="shared" si="15"/>
        <v>456000</v>
      </c>
    </row>
    <row r="272" spans="1:8" s="8" customFormat="1" x14ac:dyDescent="0.25">
      <c r="A272" s="16">
        <v>45912</v>
      </c>
      <c r="B272" s="10" t="s">
        <v>500</v>
      </c>
      <c r="C272" s="17">
        <v>27186505900</v>
      </c>
      <c r="D272" s="28" t="s">
        <v>501</v>
      </c>
      <c r="E272" s="13">
        <v>200000</v>
      </c>
      <c r="F272" s="5">
        <v>12</v>
      </c>
      <c r="G272" s="13">
        <v>76000</v>
      </c>
      <c r="H272" s="2">
        <f t="shared" si="15"/>
        <v>912000</v>
      </c>
    </row>
    <row r="273" spans="1:8" s="8" customFormat="1" x14ac:dyDescent="0.25">
      <c r="A273" s="16">
        <v>45912</v>
      </c>
      <c r="B273" s="10" t="s">
        <v>502</v>
      </c>
      <c r="C273" s="17">
        <v>20213254880</v>
      </c>
      <c r="D273" s="28" t="s">
        <v>503</v>
      </c>
      <c r="E273" s="13">
        <v>100000</v>
      </c>
      <c r="F273" s="5">
        <v>12</v>
      </c>
      <c r="G273" s="13">
        <v>38000</v>
      </c>
      <c r="H273" s="2">
        <f t="shared" si="15"/>
        <v>456000</v>
      </c>
    </row>
    <row r="274" spans="1:8" s="8" customFormat="1" x14ac:dyDescent="0.25">
      <c r="A274" s="16">
        <v>45915</v>
      </c>
      <c r="B274" s="10" t="s">
        <v>504</v>
      </c>
      <c r="C274" s="17">
        <v>20143243282</v>
      </c>
      <c r="D274" s="28" t="s">
        <v>505</v>
      </c>
      <c r="E274" s="13">
        <v>200000</v>
      </c>
      <c r="F274" s="5">
        <v>12</v>
      </c>
      <c r="G274" s="13">
        <v>76000</v>
      </c>
      <c r="H274" s="2">
        <f>+G274*F274</f>
        <v>912000</v>
      </c>
    </row>
    <row r="275" spans="1:8" s="8" customFormat="1" x14ac:dyDescent="0.25">
      <c r="A275" s="16">
        <v>45915</v>
      </c>
      <c r="B275" s="10" t="s">
        <v>106</v>
      </c>
      <c r="C275" s="17">
        <v>23374827804</v>
      </c>
      <c r="D275" s="28" t="s">
        <v>107</v>
      </c>
      <c r="E275" s="13">
        <v>300000</v>
      </c>
      <c r="F275" s="5">
        <v>12</v>
      </c>
      <c r="G275" s="13">
        <v>114000</v>
      </c>
      <c r="H275" s="2">
        <f>+G275*F275</f>
        <v>1368000</v>
      </c>
    </row>
    <row r="276" spans="1:8" s="8" customFormat="1" x14ac:dyDescent="0.25">
      <c r="A276" s="16">
        <v>45916</v>
      </c>
      <c r="B276" s="10" t="s">
        <v>506</v>
      </c>
      <c r="C276" s="17">
        <v>27314016543</v>
      </c>
      <c r="D276" s="28" t="s">
        <v>507</v>
      </c>
      <c r="E276" s="13">
        <v>300000</v>
      </c>
      <c r="F276" s="5">
        <v>12</v>
      </c>
      <c r="G276" s="13">
        <v>114000</v>
      </c>
      <c r="H276" s="2">
        <f t="shared" ref="H276:H277" si="16">+G276*F276</f>
        <v>1368000</v>
      </c>
    </row>
    <row r="277" spans="1:8" s="8" customFormat="1" x14ac:dyDescent="0.25">
      <c r="A277" s="16">
        <v>45916</v>
      </c>
      <c r="B277" s="10" t="s">
        <v>508</v>
      </c>
      <c r="C277" s="17">
        <v>27185124962</v>
      </c>
      <c r="D277" s="28" t="s">
        <v>509</v>
      </c>
      <c r="E277" s="13">
        <v>200000</v>
      </c>
      <c r="F277" s="5">
        <v>12</v>
      </c>
      <c r="G277" s="13">
        <v>76000</v>
      </c>
      <c r="H277" s="2">
        <f t="shared" si="16"/>
        <v>912000</v>
      </c>
    </row>
    <row r="278" spans="1:8" s="8" customFormat="1" x14ac:dyDescent="0.25">
      <c r="A278" s="16">
        <v>45917</v>
      </c>
      <c r="B278" s="10" t="s">
        <v>510</v>
      </c>
      <c r="C278" s="17">
        <v>27147577937</v>
      </c>
      <c r="D278" s="28" t="s">
        <v>511</v>
      </c>
      <c r="E278" s="13">
        <v>150000</v>
      </c>
      <c r="F278" s="5">
        <v>12</v>
      </c>
      <c r="G278" s="13">
        <v>57000</v>
      </c>
      <c r="H278" s="2">
        <f>+G278*F278</f>
        <v>684000</v>
      </c>
    </row>
    <row r="279" spans="1:8" s="8" customFormat="1" x14ac:dyDescent="0.25">
      <c r="A279" s="16">
        <v>45917</v>
      </c>
      <c r="B279" s="10" t="s">
        <v>512</v>
      </c>
      <c r="C279" s="17">
        <v>27352489684</v>
      </c>
      <c r="D279" s="28" t="s">
        <v>513</v>
      </c>
      <c r="E279" s="13">
        <v>500000</v>
      </c>
      <c r="F279" s="5">
        <v>12</v>
      </c>
      <c r="G279" s="13">
        <v>190000</v>
      </c>
      <c r="H279" s="2">
        <f>+G279*F279</f>
        <v>2280000</v>
      </c>
    </row>
    <row r="280" spans="1:8" s="8" customFormat="1" x14ac:dyDescent="0.25">
      <c r="A280" s="16">
        <v>45918</v>
      </c>
      <c r="B280" s="10" t="s">
        <v>514</v>
      </c>
      <c r="C280" s="17">
        <v>20240655129</v>
      </c>
      <c r="D280" s="28" t="s">
        <v>515</v>
      </c>
      <c r="E280" s="13">
        <v>800000</v>
      </c>
      <c r="F280" s="5">
        <v>12</v>
      </c>
      <c r="G280" s="13">
        <v>304000</v>
      </c>
      <c r="H280" s="2">
        <f t="shared" ref="H280:H285" si="17">+G280*F280</f>
        <v>3648000</v>
      </c>
    </row>
    <row r="281" spans="1:8" s="8" customFormat="1" x14ac:dyDescent="0.25">
      <c r="A281" s="16">
        <v>45918</v>
      </c>
      <c r="B281" s="10" t="s">
        <v>514</v>
      </c>
      <c r="C281" s="17">
        <v>20240655129</v>
      </c>
      <c r="D281" s="28" t="s">
        <v>515</v>
      </c>
      <c r="E281" s="13">
        <v>700000</v>
      </c>
      <c r="F281" s="5">
        <v>12</v>
      </c>
      <c r="G281" s="13">
        <v>266000</v>
      </c>
      <c r="H281" s="2">
        <f t="shared" si="17"/>
        <v>3192000</v>
      </c>
    </row>
    <row r="282" spans="1:8" s="8" customFormat="1" x14ac:dyDescent="0.25">
      <c r="A282" s="16">
        <v>45918</v>
      </c>
      <c r="B282" s="10" t="s">
        <v>516</v>
      </c>
      <c r="C282" s="17">
        <v>23298376059</v>
      </c>
      <c r="D282" s="28" t="s">
        <v>517</v>
      </c>
      <c r="E282" s="13">
        <v>300000</v>
      </c>
      <c r="F282" s="5">
        <v>12</v>
      </c>
      <c r="G282" s="13">
        <v>114000</v>
      </c>
      <c r="H282" s="2">
        <f t="shared" si="17"/>
        <v>1368000</v>
      </c>
    </row>
    <row r="283" spans="1:8" s="8" customFormat="1" x14ac:dyDescent="0.25">
      <c r="A283" s="16">
        <v>45919</v>
      </c>
      <c r="B283" s="10" t="s">
        <v>223</v>
      </c>
      <c r="C283" s="17">
        <v>20333604095</v>
      </c>
      <c r="D283" s="28" t="s">
        <v>224</v>
      </c>
      <c r="E283" s="13">
        <v>200000</v>
      </c>
      <c r="F283" s="5">
        <v>12</v>
      </c>
      <c r="G283" s="13">
        <v>76000</v>
      </c>
      <c r="H283" s="2">
        <f t="shared" si="17"/>
        <v>912000</v>
      </c>
    </row>
    <row r="284" spans="1:8" s="8" customFormat="1" x14ac:dyDescent="0.25">
      <c r="A284" s="16">
        <v>45919</v>
      </c>
      <c r="B284" s="10" t="s">
        <v>44</v>
      </c>
      <c r="C284" s="17">
        <v>27169345401</v>
      </c>
      <c r="D284" s="28" t="s">
        <v>45</v>
      </c>
      <c r="E284" s="13">
        <v>150000</v>
      </c>
      <c r="F284" s="5">
        <v>12</v>
      </c>
      <c r="G284" s="13">
        <v>57000</v>
      </c>
      <c r="H284" s="2">
        <f t="shared" si="17"/>
        <v>684000</v>
      </c>
    </row>
    <row r="285" spans="1:8" s="8" customFormat="1" x14ac:dyDescent="0.25">
      <c r="A285" s="16">
        <v>45922</v>
      </c>
      <c r="B285" s="10" t="s">
        <v>518</v>
      </c>
      <c r="C285" s="17">
        <v>27240608435</v>
      </c>
      <c r="D285" s="28" t="s">
        <v>519</v>
      </c>
      <c r="E285" s="13">
        <v>200000</v>
      </c>
      <c r="F285" s="5">
        <v>12</v>
      </c>
      <c r="G285" s="13">
        <v>76000</v>
      </c>
      <c r="H285" s="2">
        <f t="shared" si="17"/>
        <v>912000</v>
      </c>
    </row>
    <row r="286" spans="1:8" s="8" customFormat="1" x14ac:dyDescent="0.25">
      <c r="A286" s="16">
        <v>45924</v>
      </c>
      <c r="B286" s="10" t="s">
        <v>520</v>
      </c>
      <c r="C286" s="17">
        <v>20124336911</v>
      </c>
      <c r="D286" s="28" t="s">
        <v>521</v>
      </c>
      <c r="E286" s="13">
        <v>500000</v>
      </c>
      <c r="F286" s="5">
        <v>12</v>
      </c>
      <c r="G286" s="13">
        <v>190000</v>
      </c>
      <c r="H286" s="2">
        <f>+G286*F286</f>
        <v>2280000</v>
      </c>
    </row>
    <row r="287" spans="1:8" s="8" customFormat="1" x14ac:dyDescent="0.25">
      <c r="A287" s="16">
        <v>45925</v>
      </c>
      <c r="B287" s="10" t="s">
        <v>522</v>
      </c>
      <c r="C287" s="17">
        <v>20326881075</v>
      </c>
      <c r="D287" s="28" t="s">
        <v>523</v>
      </c>
      <c r="E287" s="13">
        <v>200000</v>
      </c>
      <c r="F287" s="5">
        <v>12</v>
      </c>
      <c r="G287" s="13">
        <v>76000</v>
      </c>
      <c r="H287" s="2">
        <f>+G287*F287</f>
        <v>912000</v>
      </c>
    </row>
    <row r="288" spans="1:8" s="8" customFormat="1" x14ac:dyDescent="0.25">
      <c r="A288" s="16">
        <v>45926</v>
      </c>
      <c r="B288" s="10" t="s">
        <v>524</v>
      </c>
      <c r="C288" s="17">
        <v>20227517744</v>
      </c>
      <c r="D288" s="28" t="s">
        <v>525</v>
      </c>
      <c r="E288" s="13">
        <v>500000</v>
      </c>
      <c r="F288" s="5">
        <v>12</v>
      </c>
      <c r="G288" s="13">
        <v>190000</v>
      </c>
      <c r="H288" s="2">
        <f>+G288*F288</f>
        <v>2280000</v>
      </c>
    </row>
    <row r="289" spans="1:8" s="8" customFormat="1" x14ac:dyDescent="0.25">
      <c r="A289" s="16">
        <v>45930</v>
      </c>
      <c r="B289" s="10" t="s">
        <v>237</v>
      </c>
      <c r="C289" s="17">
        <v>20235613477</v>
      </c>
      <c r="D289" s="28" t="s">
        <v>238</v>
      </c>
      <c r="E289" s="13">
        <v>1000000</v>
      </c>
      <c r="F289" s="5">
        <v>12</v>
      </c>
      <c r="G289" s="13">
        <v>380000</v>
      </c>
      <c r="H289" s="2">
        <f t="shared" ref="H289:H297" si="18">+G289*F289</f>
        <v>4560000</v>
      </c>
    </row>
    <row r="290" spans="1:8" s="8" customFormat="1" x14ac:dyDescent="0.25">
      <c r="A290" s="16">
        <v>45930</v>
      </c>
      <c r="B290" s="10" t="s">
        <v>526</v>
      </c>
      <c r="C290" s="17">
        <v>23137070499</v>
      </c>
      <c r="D290" s="28" t="s">
        <v>527</v>
      </c>
      <c r="E290" s="13">
        <v>100000</v>
      </c>
      <c r="F290" s="5">
        <v>12</v>
      </c>
      <c r="G290" s="13">
        <v>38000</v>
      </c>
      <c r="H290" s="2">
        <f t="shared" si="18"/>
        <v>456000</v>
      </c>
    </row>
    <row r="291" spans="1:8" s="8" customFormat="1" x14ac:dyDescent="0.25">
      <c r="A291" s="16">
        <v>45931</v>
      </c>
      <c r="B291" s="10" t="s">
        <v>528</v>
      </c>
      <c r="C291" s="17">
        <v>27102411078</v>
      </c>
      <c r="D291" s="28" t="s">
        <v>529</v>
      </c>
      <c r="E291" s="13">
        <v>100000</v>
      </c>
      <c r="F291" s="5">
        <v>12</v>
      </c>
      <c r="G291" s="13">
        <v>38000</v>
      </c>
      <c r="H291" s="2">
        <f t="shared" si="18"/>
        <v>456000</v>
      </c>
    </row>
    <row r="292" spans="1:8" s="8" customFormat="1" x14ac:dyDescent="0.25">
      <c r="A292" s="16">
        <v>45933</v>
      </c>
      <c r="B292" s="10" t="s">
        <v>530</v>
      </c>
      <c r="C292" s="17">
        <v>20309496826</v>
      </c>
      <c r="D292" s="28" t="s">
        <v>531</v>
      </c>
      <c r="E292" s="13">
        <v>200000</v>
      </c>
      <c r="F292" s="5">
        <v>12</v>
      </c>
      <c r="G292" s="13">
        <v>76000</v>
      </c>
      <c r="H292" s="2">
        <f t="shared" si="18"/>
        <v>912000</v>
      </c>
    </row>
    <row r="293" spans="1:8" s="8" customFormat="1" x14ac:dyDescent="0.25">
      <c r="A293" s="16">
        <v>45933</v>
      </c>
      <c r="B293" s="10" t="s">
        <v>532</v>
      </c>
      <c r="C293" s="17">
        <v>20137071038</v>
      </c>
      <c r="D293" s="28" t="s">
        <v>533</v>
      </c>
      <c r="E293" s="13">
        <v>400000</v>
      </c>
      <c r="F293" s="5">
        <v>12</v>
      </c>
      <c r="G293" s="13">
        <v>152000</v>
      </c>
      <c r="H293" s="2">
        <f t="shared" si="18"/>
        <v>1824000</v>
      </c>
    </row>
    <row r="294" spans="1:8" s="8" customFormat="1" x14ac:dyDescent="0.25">
      <c r="A294" s="16">
        <v>45936</v>
      </c>
      <c r="B294" s="10" t="s">
        <v>534</v>
      </c>
      <c r="C294" s="17">
        <v>27316487969</v>
      </c>
      <c r="D294" s="28" t="s">
        <v>535</v>
      </c>
      <c r="E294" s="13">
        <v>1000000</v>
      </c>
      <c r="F294" s="5">
        <v>12</v>
      </c>
      <c r="G294" s="13">
        <v>380000</v>
      </c>
      <c r="H294" s="2">
        <f t="shared" si="18"/>
        <v>4560000</v>
      </c>
    </row>
    <row r="295" spans="1:8" s="8" customFormat="1" x14ac:dyDescent="0.25">
      <c r="A295" s="16">
        <v>45936</v>
      </c>
      <c r="B295" s="10" t="s">
        <v>534</v>
      </c>
      <c r="C295" s="17">
        <v>27316487969</v>
      </c>
      <c r="D295" s="28" t="s">
        <v>535</v>
      </c>
      <c r="E295" s="13">
        <v>1000000</v>
      </c>
      <c r="F295" s="5">
        <v>12</v>
      </c>
      <c r="G295" s="13">
        <v>380000</v>
      </c>
      <c r="H295" s="2">
        <f t="shared" si="18"/>
        <v>4560000</v>
      </c>
    </row>
    <row r="296" spans="1:8" s="8" customFormat="1" x14ac:dyDescent="0.25">
      <c r="A296" s="16">
        <v>45936</v>
      </c>
      <c r="B296" s="10" t="s">
        <v>536</v>
      </c>
      <c r="C296" s="17">
        <v>27205889480</v>
      </c>
      <c r="D296" s="28" t="s">
        <v>537</v>
      </c>
      <c r="E296" s="13">
        <v>1000000</v>
      </c>
      <c r="F296" s="5">
        <v>12</v>
      </c>
      <c r="G296" s="13">
        <v>380000</v>
      </c>
      <c r="H296" s="2">
        <f t="shared" si="18"/>
        <v>4560000</v>
      </c>
    </row>
    <row r="297" spans="1:8" s="8" customFormat="1" x14ac:dyDescent="0.25">
      <c r="A297" s="16">
        <v>45936</v>
      </c>
      <c r="B297" s="10" t="s">
        <v>536</v>
      </c>
      <c r="C297" s="17">
        <v>27205889480</v>
      </c>
      <c r="D297" s="28" t="s">
        <v>537</v>
      </c>
      <c r="E297" s="13">
        <v>1000000</v>
      </c>
      <c r="F297" s="5">
        <v>12</v>
      </c>
      <c r="G297" s="13">
        <v>380000</v>
      </c>
      <c r="H297" s="2">
        <f t="shared" si="18"/>
        <v>4560000</v>
      </c>
    </row>
    <row r="298" spans="1:8" s="8" customFormat="1" x14ac:dyDescent="0.25">
      <c r="A298" s="16">
        <v>45937</v>
      </c>
      <c r="B298" s="10" t="s">
        <v>538</v>
      </c>
      <c r="C298" s="17">
        <v>27266853152</v>
      </c>
      <c r="D298" s="28" t="s">
        <v>539</v>
      </c>
      <c r="E298" s="13">
        <v>200000</v>
      </c>
      <c r="F298" s="5">
        <v>12</v>
      </c>
      <c r="G298" s="13">
        <v>76000</v>
      </c>
      <c r="H298" s="2">
        <f>+G298*F298</f>
        <v>912000</v>
      </c>
    </row>
    <row r="299" spans="1:8" s="8" customFormat="1" x14ac:dyDescent="0.25">
      <c r="A299" s="16">
        <v>45938</v>
      </c>
      <c r="B299" s="10" t="s">
        <v>66</v>
      </c>
      <c r="C299" s="17">
        <v>20233090868</v>
      </c>
      <c r="D299" s="28" t="s">
        <v>67</v>
      </c>
      <c r="E299" s="13">
        <v>500000</v>
      </c>
      <c r="F299" s="5">
        <v>12</v>
      </c>
      <c r="G299" s="13">
        <v>190000</v>
      </c>
      <c r="H299" s="2">
        <f>+G299*F299</f>
        <v>2280000</v>
      </c>
    </row>
    <row r="300" spans="1:8" s="8" customFormat="1" x14ac:dyDescent="0.25">
      <c r="A300" s="16">
        <v>45939</v>
      </c>
      <c r="B300" s="10" t="s">
        <v>540</v>
      </c>
      <c r="C300" s="17">
        <v>27184489185</v>
      </c>
      <c r="D300" s="28" t="s">
        <v>541</v>
      </c>
      <c r="E300" s="13">
        <v>200000</v>
      </c>
      <c r="F300" s="5">
        <v>12</v>
      </c>
      <c r="G300" s="13">
        <v>76000</v>
      </c>
      <c r="H300" s="2">
        <f t="shared" ref="H300:H303" si="19">+G300*F300</f>
        <v>912000</v>
      </c>
    </row>
    <row r="301" spans="1:8" s="8" customFormat="1" x14ac:dyDescent="0.25">
      <c r="A301" s="16">
        <v>45939</v>
      </c>
      <c r="B301" s="10" t="s">
        <v>542</v>
      </c>
      <c r="C301" s="17">
        <v>27228800371</v>
      </c>
      <c r="D301" s="28" t="s">
        <v>543</v>
      </c>
      <c r="E301" s="13">
        <v>100000</v>
      </c>
      <c r="F301" s="5">
        <v>12</v>
      </c>
      <c r="G301" s="13">
        <v>38000</v>
      </c>
      <c r="H301" s="2">
        <f t="shared" si="19"/>
        <v>456000</v>
      </c>
    </row>
    <row r="302" spans="1:8" s="8" customFormat="1" x14ac:dyDescent="0.25">
      <c r="A302" s="16">
        <v>45939</v>
      </c>
      <c r="B302" s="10" t="s">
        <v>361</v>
      </c>
      <c r="C302" s="17">
        <v>23174284989</v>
      </c>
      <c r="D302" s="28" t="s">
        <v>362</v>
      </c>
      <c r="E302" s="13">
        <v>300000</v>
      </c>
      <c r="F302" s="5">
        <v>12</v>
      </c>
      <c r="G302" s="13">
        <v>114000</v>
      </c>
      <c r="H302" s="2">
        <f t="shared" si="19"/>
        <v>1368000</v>
      </c>
    </row>
    <row r="303" spans="1:8" s="8" customFormat="1" x14ac:dyDescent="0.25">
      <c r="A303" s="16">
        <v>45939</v>
      </c>
      <c r="B303" s="10" t="s">
        <v>544</v>
      </c>
      <c r="C303" s="17">
        <v>23309498569</v>
      </c>
      <c r="D303" s="28" t="s">
        <v>545</v>
      </c>
      <c r="E303" s="13">
        <v>350000</v>
      </c>
      <c r="F303" s="5">
        <v>12</v>
      </c>
      <c r="G303" s="13">
        <v>133000</v>
      </c>
      <c r="H303" s="2">
        <f t="shared" si="19"/>
        <v>1596000</v>
      </c>
    </row>
    <row r="304" spans="1:8" s="8" customFormat="1" x14ac:dyDescent="0.25">
      <c r="A304" s="16">
        <v>45943</v>
      </c>
      <c r="B304" s="10" t="s">
        <v>546</v>
      </c>
      <c r="C304" s="17">
        <v>20226748769</v>
      </c>
      <c r="D304" s="28" t="s">
        <v>547</v>
      </c>
      <c r="E304" s="13">
        <v>200000</v>
      </c>
      <c r="F304" s="5">
        <v>12</v>
      </c>
      <c r="G304" s="13">
        <v>76000</v>
      </c>
      <c r="H304" s="2">
        <f>+G304*F304</f>
        <v>912000</v>
      </c>
    </row>
    <row r="305" spans="1:8" s="8" customFormat="1" x14ac:dyDescent="0.25">
      <c r="A305" s="16">
        <v>45943</v>
      </c>
      <c r="B305" s="10" t="s">
        <v>548</v>
      </c>
      <c r="C305" s="17">
        <v>27301077187</v>
      </c>
      <c r="D305" s="28" t="s">
        <v>549</v>
      </c>
      <c r="E305" s="13">
        <v>100000</v>
      </c>
      <c r="F305" s="5">
        <v>12</v>
      </c>
      <c r="G305" s="13">
        <v>38000</v>
      </c>
      <c r="H305" s="2">
        <f t="shared" ref="H305:H312" si="20">+G305*F305</f>
        <v>456000</v>
      </c>
    </row>
    <row r="306" spans="1:8" s="8" customFormat="1" x14ac:dyDescent="0.25">
      <c r="A306" s="16">
        <v>45943</v>
      </c>
      <c r="B306" s="10" t="s">
        <v>411</v>
      </c>
      <c r="C306" s="17">
        <v>20251175153</v>
      </c>
      <c r="D306" s="28" t="s">
        <v>412</v>
      </c>
      <c r="E306" s="13">
        <v>700000</v>
      </c>
      <c r="F306" s="5">
        <v>12</v>
      </c>
      <c r="G306" s="13">
        <v>266000</v>
      </c>
      <c r="H306" s="2">
        <f t="shared" si="20"/>
        <v>3192000</v>
      </c>
    </row>
    <row r="307" spans="1:8" s="8" customFormat="1" x14ac:dyDescent="0.25">
      <c r="A307" s="16">
        <v>45944</v>
      </c>
      <c r="B307" s="10" t="s">
        <v>550</v>
      </c>
      <c r="C307" s="17">
        <v>20209241073</v>
      </c>
      <c r="D307" s="28" t="s">
        <v>210</v>
      </c>
      <c r="E307" s="13">
        <v>300000</v>
      </c>
      <c r="F307" s="5">
        <v>12</v>
      </c>
      <c r="G307" s="13">
        <v>114000</v>
      </c>
      <c r="H307" s="2">
        <f t="shared" si="20"/>
        <v>1368000</v>
      </c>
    </row>
    <row r="308" spans="1:8" s="8" customFormat="1" x14ac:dyDescent="0.25">
      <c r="A308" s="16">
        <v>45945</v>
      </c>
      <c r="B308" s="10" t="s">
        <v>551</v>
      </c>
      <c r="C308" s="17">
        <v>20399987351</v>
      </c>
      <c r="D308" s="28" t="s">
        <v>552</v>
      </c>
      <c r="E308" s="13">
        <v>500000</v>
      </c>
      <c r="F308" s="5">
        <v>12</v>
      </c>
      <c r="G308" s="13">
        <v>190000</v>
      </c>
      <c r="H308" s="2">
        <f t="shared" si="20"/>
        <v>2280000</v>
      </c>
    </row>
    <row r="309" spans="1:8" s="8" customFormat="1" x14ac:dyDescent="0.25">
      <c r="A309" s="16">
        <v>45945</v>
      </c>
      <c r="B309" s="10" t="s">
        <v>553</v>
      </c>
      <c r="C309" s="17">
        <v>27066501901</v>
      </c>
      <c r="D309" s="28" t="s">
        <v>554</v>
      </c>
      <c r="E309" s="13">
        <v>100000</v>
      </c>
      <c r="F309" s="5">
        <v>12</v>
      </c>
      <c r="G309" s="13">
        <v>38000</v>
      </c>
      <c r="H309" s="2">
        <f t="shared" si="20"/>
        <v>456000</v>
      </c>
    </row>
    <row r="310" spans="1:8" s="8" customFormat="1" x14ac:dyDescent="0.25">
      <c r="A310" s="16">
        <v>45945</v>
      </c>
      <c r="B310" s="10" t="s">
        <v>555</v>
      </c>
      <c r="C310" s="17">
        <v>27235615482</v>
      </c>
      <c r="D310" s="28" t="s">
        <v>556</v>
      </c>
      <c r="E310" s="13">
        <v>500000</v>
      </c>
      <c r="F310" s="5">
        <v>12</v>
      </c>
      <c r="G310" s="13">
        <v>190000</v>
      </c>
      <c r="H310" s="2">
        <f t="shared" si="20"/>
        <v>2280000</v>
      </c>
    </row>
    <row r="311" spans="1:8" s="8" customFormat="1" x14ac:dyDescent="0.25">
      <c r="A311" s="16">
        <v>45945</v>
      </c>
      <c r="B311" s="10" t="s">
        <v>557</v>
      </c>
      <c r="C311" s="17">
        <v>27265934280</v>
      </c>
      <c r="D311" s="28" t="s">
        <v>558</v>
      </c>
      <c r="E311" s="13">
        <v>100000</v>
      </c>
      <c r="F311" s="5">
        <v>12</v>
      </c>
      <c r="G311" s="13">
        <v>38000</v>
      </c>
      <c r="H311" s="2">
        <f t="shared" si="20"/>
        <v>456000</v>
      </c>
    </row>
    <row r="312" spans="1:8" s="8" customFormat="1" x14ac:dyDescent="0.25">
      <c r="A312" s="16">
        <v>45946</v>
      </c>
      <c r="B312" s="10" t="s">
        <v>559</v>
      </c>
      <c r="C312" s="17">
        <v>27270842939</v>
      </c>
      <c r="D312" s="28" t="s">
        <v>560</v>
      </c>
      <c r="E312" s="13">
        <v>1000000</v>
      </c>
      <c r="F312" s="5">
        <v>12</v>
      </c>
      <c r="G312" s="13">
        <v>380000</v>
      </c>
      <c r="H312" s="2">
        <f t="shared" si="20"/>
        <v>4560000</v>
      </c>
    </row>
    <row r="313" spans="1:8" s="8" customFormat="1" x14ac:dyDescent="0.25">
      <c r="A313" s="16">
        <v>45947</v>
      </c>
      <c r="B313" s="10" t="s">
        <v>561</v>
      </c>
      <c r="C313" s="17">
        <v>27219942376</v>
      </c>
      <c r="D313" s="28" t="s">
        <v>562</v>
      </c>
      <c r="E313" s="13">
        <v>100000</v>
      </c>
      <c r="F313" s="5">
        <v>12</v>
      </c>
      <c r="G313" s="13">
        <v>38000</v>
      </c>
      <c r="H313" s="2">
        <f>+G313*F313</f>
        <v>456000</v>
      </c>
    </row>
    <row r="314" spans="1:8" s="8" customFormat="1" x14ac:dyDescent="0.25">
      <c r="A314" s="16">
        <v>45947</v>
      </c>
      <c r="B314" s="10" t="s">
        <v>563</v>
      </c>
      <c r="C314" s="17">
        <v>20147658363</v>
      </c>
      <c r="D314" s="28" t="s">
        <v>564</v>
      </c>
      <c r="E314" s="13">
        <v>100000</v>
      </c>
      <c r="F314" s="5">
        <v>12</v>
      </c>
      <c r="G314" s="13">
        <v>38000</v>
      </c>
      <c r="H314" s="2">
        <f t="shared" ref="H314:H328" si="21">+G314*F314</f>
        <v>456000</v>
      </c>
    </row>
    <row r="315" spans="1:8" s="8" customFormat="1" x14ac:dyDescent="0.25">
      <c r="A315" s="16">
        <v>45947</v>
      </c>
      <c r="B315" s="10" t="s">
        <v>565</v>
      </c>
      <c r="C315" s="17">
        <v>27306765375</v>
      </c>
      <c r="D315" s="28" t="s">
        <v>566</v>
      </c>
      <c r="E315" s="13">
        <v>100000</v>
      </c>
      <c r="F315" s="5">
        <v>12</v>
      </c>
      <c r="G315" s="13">
        <v>38000</v>
      </c>
      <c r="H315" s="2">
        <f t="shared" si="21"/>
        <v>456000</v>
      </c>
    </row>
    <row r="316" spans="1:8" s="8" customFormat="1" x14ac:dyDescent="0.25">
      <c r="A316" s="16">
        <v>45950</v>
      </c>
      <c r="B316" s="10" t="s">
        <v>574</v>
      </c>
      <c r="C316" s="17">
        <v>27179377107</v>
      </c>
      <c r="D316" s="28" t="s">
        <v>567</v>
      </c>
      <c r="E316" s="13">
        <v>200000</v>
      </c>
      <c r="F316" s="5">
        <v>12</v>
      </c>
      <c r="G316" s="13">
        <v>76000</v>
      </c>
      <c r="H316" s="2">
        <f t="shared" si="21"/>
        <v>912000</v>
      </c>
    </row>
    <row r="317" spans="1:8" s="8" customFormat="1" x14ac:dyDescent="0.25">
      <c r="A317" s="16">
        <v>45950</v>
      </c>
      <c r="B317" s="10" t="s">
        <v>568</v>
      </c>
      <c r="C317" s="17">
        <v>27062120342</v>
      </c>
      <c r="D317" s="28" t="s">
        <v>569</v>
      </c>
      <c r="E317" s="13">
        <v>100000</v>
      </c>
      <c r="F317" s="5">
        <v>12</v>
      </c>
      <c r="G317" s="13">
        <v>38000</v>
      </c>
      <c r="H317" s="2">
        <f t="shared" si="21"/>
        <v>456000</v>
      </c>
    </row>
    <row r="318" spans="1:8" s="8" customFormat="1" x14ac:dyDescent="0.25">
      <c r="A318" s="16">
        <v>45950</v>
      </c>
      <c r="B318" s="10" t="s">
        <v>570</v>
      </c>
      <c r="C318" s="17">
        <v>27044370196</v>
      </c>
      <c r="D318" s="28" t="s">
        <v>571</v>
      </c>
      <c r="E318" s="13">
        <v>100000</v>
      </c>
      <c r="F318" s="5">
        <v>12</v>
      </c>
      <c r="G318" s="13">
        <v>38000</v>
      </c>
      <c r="H318" s="2">
        <f t="shared" si="21"/>
        <v>456000</v>
      </c>
    </row>
    <row r="319" spans="1:8" s="8" customFormat="1" x14ac:dyDescent="0.25">
      <c r="A319" s="16">
        <v>45950</v>
      </c>
      <c r="B319" s="10" t="s">
        <v>572</v>
      </c>
      <c r="C319" s="17">
        <v>20315437610</v>
      </c>
      <c r="D319" s="28" t="s">
        <v>573</v>
      </c>
      <c r="E319" s="13">
        <v>200000</v>
      </c>
      <c r="F319" s="5">
        <v>12</v>
      </c>
      <c r="G319" s="13">
        <v>76000</v>
      </c>
      <c r="H319" s="2">
        <f t="shared" si="21"/>
        <v>912000</v>
      </c>
    </row>
    <row r="320" spans="1:8" s="8" customFormat="1" x14ac:dyDescent="0.25">
      <c r="A320" s="16">
        <v>45951</v>
      </c>
      <c r="B320" s="10" t="s">
        <v>64</v>
      </c>
      <c r="C320" s="17">
        <v>27216398772</v>
      </c>
      <c r="D320" s="28" t="s">
        <v>65</v>
      </c>
      <c r="E320" s="13">
        <v>700000</v>
      </c>
      <c r="F320" s="5">
        <v>12</v>
      </c>
      <c r="G320" s="13">
        <v>266000</v>
      </c>
      <c r="H320" s="2">
        <f t="shared" si="21"/>
        <v>3192000</v>
      </c>
    </row>
    <row r="321" spans="1:8" s="8" customFormat="1" x14ac:dyDescent="0.25">
      <c r="A321" s="16">
        <v>45952</v>
      </c>
      <c r="B321" s="10" t="s">
        <v>575</v>
      </c>
      <c r="C321" s="17">
        <v>20217729123</v>
      </c>
      <c r="D321" s="28" t="s">
        <v>576</v>
      </c>
      <c r="E321" s="13">
        <v>200000</v>
      </c>
      <c r="F321" s="5">
        <v>12</v>
      </c>
      <c r="G321" s="13">
        <v>76000</v>
      </c>
      <c r="H321" s="2">
        <f t="shared" si="21"/>
        <v>912000</v>
      </c>
    </row>
    <row r="322" spans="1:8" s="8" customFormat="1" x14ac:dyDescent="0.25">
      <c r="A322" s="16">
        <v>45952</v>
      </c>
      <c r="B322" s="10" t="s">
        <v>577</v>
      </c>
      <c r="C322" s="17">
        <v>23146014119</v>
      </c>
      <c r="D322" s="28" t="s">
        <v>578</v>
      </c>
      <c r="E322" s="13">
        <v>200000</v>
      </c>
      <c r="F322" s="5">
        <v>12</v>
      </c>
      <c r="G322" s="13">
        <v>76000</v>
      </c>
      <c r="H322" s="2">
        <f t="shared" si="21"/>
        <v>912000</v>
      </c>
    </row>
    <row r="323" spans="1:8" s="8" customFormat="1" x14ac:dyDescent="0.25">
      <c r="A323" s="16">
        <v>45953</v>
      </c>
      <c r="B323" s="10" t="s">
        <v>579</v>
      </c>
      <c r="C323" s="17">
        <v>20183576918</v>
      </c>
      <c r="D323" s="28" t="s">
        <v>580</v>
      </c>
      <c r="E323" s="13">
        <v>500000</v>
      </c>
      <c r="F323" s="5">
        <v>12</v>
      </c>
      <c r="G323" s="13">
        <v>190000</v>
      </c>
      <c r="H323" s="2">
        <f t="shared" si="21"/>
        <v>2280000</v>
      </c>
    </row>
    <row r="324" spans="1:8" s="8" customFormat="1" x14ac:dyDescent="0.25">
      <c r="A324" s="16">
        <v>45953</v>
      </c>
      <c r="B324" s="10" t="s">
        <v>581</v>
      </c>
      <c r="C324" s="17">
        <v>27162987645</v>
      </c>
      <c r="D324" s="28" t="s">
        <v>582</v>
      </c>
      <c r="E324" s="13">
        <v>100000</v>
      </c>
      <c r="F324" s="5">
        <v>12</v>
      </c>
      <c r="G324" s="13">
        <v>38000</v>
      </c>
      <c r="H324" s="2">
        <f t="shared" si="21"/>
        <v>456000</v>
      </c>
    </row>
    <row r="325" spans="1:8" s="8" customFormat="1" x14ac:dyDescent="0.25">
      <c r="A325" s="16">
        <v>45954</v>
      </c>
      <c r="B325" s="10" t="s">
        <v>583</v>
      </c>
      <c r="C325" s="17">
        <v>20172842055</v>
      </c>
      <c r="D325" s="28" t="s">
        <v>255</v>
      </c>
      <c r="E325" s="13">
        <v>300000</v>
      </c>
      <c r="F325" s="5">
        <v>12</v>
      </c>
      <c r="G325" s="13">
        <v>114000</v>
      </c>
      <c r="H325" s="2">
        <f t="shared" si="21"/>
        <v>1368000</v>
      </c>
    </row>
    <row r="326" spans="1:8" s="8" customFormat="1" x14ac:dyDescent="0.25">
      <c r="A326" s="16">
        <v>45954</v>
      </c>
      <c r="B326" s="10" t="s">
        <v>584</v>
      </c>
      <c r="C326" s="17">
        <v>20278822339</v>
      </c>
      <c r="D326" s="28" t="s">
        <v>585</v>
      </c>
      <c r="E326" s="13">
        <v>700000</v>
      </c>
      <c r="F326" s="5">
        <v>12</v>
      </c>
      <c r="G326" s="13">
        <v>266000</v>
      </c>
      <c r="H326" s="2">
        <f t="shared" si="21"/>
        <v>3192000</v>
      </c>
    </row>
    <row r="327" spans="1:8" s="8" customFormat="1" x14ac:dyDescent="0.25">
      <c r="A327" s="16">
        <v>45957</v>
      </c>
      <c r="B327" s="10" t="s">
        <v>586</v>
      </c>
      <c r="C327" s="17">
        <v>20049997141</v>
      </c>
      <c r="D327" s="28" t="s">
        <v>587</v>
      </c>
      <c r="E327" s="13">
        <v>100000</v>
      </c>
      <c r="F327" s="5">
        <v>12</v>
      </c>
      <c r="G327" s="13">
        <v>38000</v>
      </c>
      <c r="H327" s="2">
        <f t="shared" si="21"/>
        <v>456000</v>
      </c>
    </row>
    <row r="328" spans="1:8" s="8" customFormat="1" x14ac:dyDescent="0.25">
      <c r="A328" s="16">
        <v>45958</v>
      </c>
      <c r="B328" s="10" t="s">
        <v>588</v>
      </c>
      <c r="C328" s="17">
        <v>27353912815</v>
      </c>
      <c r="D328" s="28" t="s">
        <v>19</v>
      </c>
      <c r="E328" s="13">
        <v>200000</v>
      </c>
      <c r="F328" s="5">
        <v>12</v>
      </c>
      <c r="G328" s="13">
        <v>76000</v>
      </c>
      <c r="H328" s="2">
        <f t="shared" si="21"/>
        <v>912000</v>
      </c>
    </row>
    <row r="329" spans="1:8" s="8" customFormat="1" x14ac:dyDescent="0.25">
      <c r="A329" s="16">
        <v>45960</v>
      </c>
      <c r="B329" s="10" t="s">
        <v>589</v>
      </c>
      <c r="C329" s="17">
        <v>27127870018</v>
      </c>
      <c r="D329" s="28" t="s">
        <v>590</v>
      </c>
      <c r="E329" s="13">
        <v>500000</v>
      </c>
      <c r="F329" s="5">
        <v>12</v>
      </c>
      <c r="G329" s="13">
        <v>190000</v>
      </c>
      <c r="H329" s="2">
        <v>2280000</v>
      </c>
    </row>
    <row r="330" spans="1:8" s="8" customFormat="1" x14ac:dyDescent="0.25">
      <c r="A330" s="16">
        <v>45961</v>
      </c>
      <c r="B330" s="10" t="s">
        <v>591</v>
      </c>
      <c r="C330" s="17">
        <v>20297837576</v>
      </c>
      <c r="D330" s="28" t="s">
        <v>592</v>
      </c>
      <c r="E330" s="13">
        <v>100000</v>
      </c>
      <c r="F330" s="5">
        <v>12</v>
      </c>
      <c r="G330" s="13">
        <v>38000</v>
      </c>
      <c r="H330" s="2">
        <f>+G330*F330</f>
        <v>456000</v>
      </c>
    </row>
    <row r="331" spans="1:8" s="8" customFormat="1" x14ac:dyDescent="0.25">
      <c r="A331" s="16">
        <v>45965</v>
      </c>
      <c r="B331" s="10" t="s">
        <v>593</v>
      </c>
      <c r="C331" s="17">
        <v>27207555717</v>
      </c>
      <c r="D331" s="28" t="s">
        <v>594</v>
      </c>
      <c r="E331" s="13">
        <v>1000000</v>
      </c>
      <c r="F331" s="5">
        <v>12</v>
      </c>
      <c r="G331" s="13">
        <v>380000</v>
      </c>
      <c r="H331" s="2">
        <f>+G331*F331</f>
        <v>4560000</v>
      </c>
    </row>
    <row r="332" spans="1:8" s="8" customFormat="1" x14ac:dyDescent="0.25">
      <c r="A332" s="16">
        <v>45966</v>
      </c>
      <c r="B332" s="10" t="s">
        <v>651</v>
      </c>
      <c r="C332" s="17">
        <v>27279005517</v>
      </c>
      <c r="D332" s="28" t="s">
        <v>595</v>
      </c>
      <c r="E332" s="13">
        <v>500000</v>
      </c>
      <c r="F332" s="5">
        <v>12</v>
      </c>
      <c r="G332" s="13">
        <v>190000</v>
      </c>
      <c r="H332" s="2">
        <f>+G332*F332</f>
        <v>2280000</v>
      </c>
    </row>
    <row r="333" spans="1:8" s="8" customFormat="1" x14ac:dyDescent="0.25">
      <c r="A333" s="16">
        <v>45966</v>
      </c>
      <c r="B333" s="10" t="s">
        <v>596</v>
      </c>
      <c r="C333" s="17">
        <v>23363482864</v>
      </c>
      <c r="D333" s="28" t="s">
        <v>597</v>
      </c>
      <c r="E333" s="13">
        <v>100000</v>
      </c>
      <c r="F333" s="5">
        <v>12</v>
      </c>
      <c r="G333" s="13">
        <v>38000</v>
      </c>
      <c r="H333" s="2">
        <f>+G333*F333</f>
        <v>456000</v>
      </c>
    </row>
    <row r="334" spans="1:8" s="8" customFormat="1" x14ac:dyDescent="0.25">
      <c r="A334" s="16">
        <v>45967</v>
      </c>
      <c r="B334" s="10" t="s">
        <v>598</v>
      </c>
      <c r="C334" s="17">
        <v>27238544764</v>
      </c>
      <c r="D334" s="28" t="s">
        <v>599</v>
      </c>
      <c r="E334" s="13">
        <v>1000000</v>
      </c>
      <c r="F334" s="5">
        <v>12</v>
      </c>
      <c r="G334" s="13">
        <v>380000</v>
      </c>
      <c r="H334" s="2">
        <f t="shared" ref="H334:H337" si="22">+G334*F334</f>
        <v>4560000</v>
      </c>
    </row>
    <row r="335" spans="1:8" s="8" customFormat="1" x14ac:dyDescent="0.25">
      <c r="A335" s="16">
        <v>45967</v>
      </c>
      <c r="B335" s="10" t="s">
        <v>600</v>
      </c>
      <c r="C335" s="17">
        <v>27238542540</v>
      </c>
      <c r="D335" s="28" t="s">
        <v>601</v>
      </c>
      <c r="E335" s="13">
        <v>500000</v>
      </c>
      <c r="F335" s="5">
        <v>12</v>
      </c>
      <c r="G335" s="13">
        <v>190000</v>
      </c>
      <c r="H335" s="2">
        <f t="shared" si="22"/>
        <v>2280000</v>
      </c>
    </row>
    <row r="336" spans="1:8" s="8" customFormat="1" x14ac:dyDescent="0.25">
      <c r="A336" s="16">
        <v>45967</v>
      </c>
      <c r="B336" s="10" t="s">
        <v>602</v>
      </c>
      <c r="C336" s="17">
        <v>27231027675</v>
      </c>
      <c r="D336" s="28" t="s">
        <v>603</v>
      </c>
      <c r="E336" s="13">
        <v>500000</v>
      </c>
      <c r="F336" s="5">
        <v>12</v>
      </c>
      <c r="G336" s="13">
        <v>190000</v>
      </c>
      <c r="H336" s="2">
        <f t="shared" si="22"/>
        <v>2280000</v>
      </c>
    </row>
    <row r="337" spans="1:8" s="8" customFormat="1" x14ac:dyDescent="0.25">
      <c r="A337" s="16">
        <v>45967</v>
      </c>
      <c r="B337" s="10" t="s">
        <v>604</v>
      </c>
      <c r="C337" s="17">
        <v>27131412245</v>
      </c>
      <c r="D337" s="28" t="s">
        <v>605</v>
      </c>
      <c r="E337" s="13">
        <v>300000</v>
      </c>
      <c r="F337" s="5">
        <v>12</v>
      </c>
      <c r="G337" s="13">
        <v>114000</v>
      </c>
      <c r="H337" s="2">
        <f t="shared" si="22"/>
        <v>1368000</v>
      </c>
    </row>
    <row r="338" spans="1:8" s="8" customFormat="1" x14ac:dyDescent="0.25">
      <c r="A338" s="16">
        <v>45971</v>
      </c>
      <c r="B338" s="10" t="s">
        <v>606</v>
      </c>
      <c r="C338" s="17">
        <v>27289739624</v>
      </c>
      <c r="D338" s="28" t="s">
        <v>607</v>
      </c>
      <c r="E338" s="13">
        <v>100000</v>
      </c>
      <c r="F338" s="5">
        <v>12</v>
      </c>
      <c r="G338" s="13">
        <v>38000</v>
      </c>
      <c r="H338" s="2">
        <f>+G338*F338</f>
        <v>456000</v>
      </c>
    </row>
    <row r="339" spans="1:8" s="8" customFormat="1" x14ac:dyDescent="0.25">
      <c r="A339" s="16">
        <v>45972</v>
      </c>
      <c r="B339" s="10" t="s">
        <v>608</v>
      </c>
      <c r="C339" s="17">
        <v>20124335400</v>
      </c>
      <c r="D339" s="28" t="s">
        <v>609</v>
      </c>
      <c r="E339" s="13">
        <v>200000</v>
      </c>
      <c r="F339" s="5">
        <v>12</v>
      </c>
      <c r="G339" s="13">
        <v>76000</v>
      </c>
      <c r="H339" s="2">
        <f>+G339*F339</f>
        <v>912000</v>
      </c>
    </row>
    <row r="340" spans="1:8" s="8" customFormat="1" x14ac:dyDescent="0.25">
      <c r="A340" s="16">
        <v>45972</v>
      </c>
      <c r="B340" s="10" t="s">
        <v>610</v>
      </c>
      <c r="C340" s="17">
        <v>27209253343</v>
      </c>
      <c r="D340" s="28" t="s">
        <v>611</v>
      </c>
      <c r="E340" s="13">
        <v>300000</v>
      </c>
      <c r="F340" s="5">
        <v>12</v>
      </c>
      <c r="G340" s="13">
        <v>114000</v>
      </c>
      <c r="H340" s="2">
        <f t="shared" ref="H340:H345" si="23">+G340*F340</f>
        <v>1368000</v>
      </c>
    </row>
    <row r="341" spans="1:8" s="8" customFormat="1" x14ac:dyDescent="0.25">
      <c r="A341" s="16">
        <v>45972</v>
      </c>
      <c r="B341" s="10" t="s">
        <v>612</v>
      </c>
      <c r="C341" s="17">
        <v>20277176018</v>
      </c>
      <c r="D341" s="28" t="s">
        <v>613</v>
      </c>
      <c r="E341" s="13">
        <v>500000</v>
      </c>
      <c r="F341" s="5">
        <v>12</v>
      </c>
      <c r="G341" s="13">
        <v>190000</v>
      </c>
      <c r="H341" s="2">
        <f t="shared" si="23"/>
        <v>2280000</v>
      </c>
    </row>
    <row r="342" spans="1:8" s="8" customFormat="1" x14ac:dyDescent="0.25">
      <c r="A342" s="16">
        <v>45973</v>
      </c>
      <c r="B342" s="10" t="s">
        <v>614</v>
      </c>
      <c r="C342" s="17">
        <v>27347232519</v>
      </c>
      <c r="D342" s="28" t="s">
        <v>615</v>
      </c>
      <c r="E342" s="13">
        <v>500000</v>
      </c>
      <c r="F342" s="5">
        <v>12</v>
      </c>
      <c r="G342" s="13">
        <v>190000</v>
      </c>
      <c r="H342" s="2">
        <f t="shared" si="23"/>
        <v>2280000</v>
      </c>
    </row>
    <row r="343" spans="1:8" s="8" customFormat="1" x14ac:dyDescent="0.25">
      <c r="A343" s="16">
        <v>45973</v>
      </c>
      <c r="B343" s="10" t="s">
        <v>616</v>
      </c>
      <c r="C343" s="17">
        <v>20353899563</v>
      </c>
      <c r="D343" s="28" t="s">
        <v>617</v>
      </c>
      <c r="E343" s="13">
        <v>600000</v>
      </c>
      <c r="F343" s="5">
        <v>12</v>
      </c>
      <c r="G343" s="13">
        <v>228000</v>
      </c>
      <c r="H343" s="2">
        <f t="shared" si="23"/>
        <v>2736000</v>
      </c>
    </row>
    <row r="344" spans="1:8" s="8" customFormat="1" x14ac:dyDescent="0.25">
      <c r="A344" s="16">
        <v>45973</v>
      </c>
      <c r="B344" s="10" t="s">
        <v>618</v>
      </c>
      <c r="C344" s="17">
        <v>27229200599</v>
      </c>
      <c r="D344" s="28" t="s">
        <v>619</v>
      </c>
      <c r="E344" s="13">
        <v>500000</v>
      </c>
      <c r="F344" s="5">
        <v>12</v>
      </c>
      <c r="G344" s="13">
        <v>190000</v>
      </c>
      <c r="H344" s="2">
        <f t="shared" si="23"/>
        <v>2280000</v>
      </c>
    </row>
    <row r="345" spans="1:8" s="8" customFormat="1" x14ac:dyDescent="0.25">
      <c r="A345" s="16">
        <v>45973</v>
      </c>
      <c r="B345" s="10" t="s">
        <v>620</v>
      </c>
      <c r="C345" s="17">
        <v>27288263715</v>
      </c>
      <c r="D345" s="28" t="s">
        <v>621</v>
      </c>
      <c r="E345" s="13">
        <v>400000</v>
      </c>
      <c r="F345" s="5">
        <v>12</v>
      </c>
      <c r="G345" s="13">
        <v>152000</v>
      </c>
      <c r="H345" s="2">
        <f t="shared" si="23"/>
        <v>1824000</v>
      </c>
    </row>
    <row r="346" spans="1:8" s="8" customFormat="1" x14ac:dyDescent="0.25">
      <c r="A346" s="16">
        <v>45974</v>
      </c>
      <c r="B346" s="10" t="s">
        <v>622</v>
      </c>
      <c r="C346" s="17">
        <v>23216399099</v>
      </c>
      <c r="D346" s="28" t="s">
        <v>623</v>
      </c>
      <c r="E346" s="13">
        <v>200000</v>
      </c>
      <c r="F346" s="5">
        <v>12</v>
      </c>
      <c r="G346" s="13">
        <v>76000</v>
      </c>
      <c r="H346" s="2">
        <f>+G346*F346</f>
        <v>912000</v>
      </c>
    </row>
    <row r="347" spans="1:8" s="8" customFormat="1" x14ac:dyDescent="0.25">
      <c r="A347" s="16">
        <v>45975</v>
      </c>
      <c r="B347" s="10" t="s">
        <v>624</v>
      </c>
      <c r="C347" s="17">
        <v>20248301296</v>
      </c>
      <c r="D347" s="28" t="s">
        <v>625</v>
      </c>
      <c r="E347" s="13">
        <v>200000</v>
      </c>
      <c r="F347" s="5">
        <v>12</v>
      </c>
      <c r="G347" s="13">
        <v>76000</v>
      </c>
      <c r="H347" s="2">
        <f t="shared" ref="H347:H357" si="24">+G347*F347</f>
        <v>912000</v>
      </c>
    </row>
    <row r="348" spans="1:8" s="8" customFormat="1" x14ac:dyDescent="0.25">
      <c r="A348" s="16">
        <v>45975</v>
      </c>
      <c r="B348" s="10" t="s">
        <v>146</v>
      </c>
      <c r="C348" s="17">
        <v>27251179269</v>
      </c>
      <c r="D348" s="28" t="s">
        <v>147</v>
      </c>
      <c r="E348" s="13">
        <v>500000</v>
      </c>
      <c r="F348" s="5">
        <v>12</v>
      </c>
      <c r="G348" s="13">
        <v>190000</v>
      </c>
      <c r="H348" s="2">
        <f t="shared" si="24"/>
        <v>2280000</v>
      </c>
    </row>
    <row r="349" spans="1:8" s="8" customFormat="1" x14ac:dyDescent="0.25">
      <c r="A349" s="16">
        <v>45975</v>
      </c>
      <c r="B349" s="10" t="s">
        <v>626</v>
      </c>
      <c r="C349" s="17">
        <v>20142227623</v>
      </c>
      <c r="D349" s="28" t="s">
        <v>627</v>
      </c>
      <c r="E349" s="13">
        <v>100000</v>
      </c>
      <c r="F349" s="5">
        <v>12</v>
      </c>
      <c r="G349" s="13">
        <v>38000</v>
      </c>
      <c r="H349" s="2">
        <f t="shared" si="24"/>
        <v>456000</v>
      </c>
    </row>
    <row r="350" spans="1:8" s="8" customFormat="1" x14ac:dyDescent="0.25">
      <c r="A350" s="16">
        <v>45975</v>
      </c>
      <c r="B350" s="10" t="s">
        <v>628</v>
      </c>
      <c r="C350" s="17">
        <v>27227407447</v>
      </c>
      <c r="D350" s="28" t="s">
        <v>25</v>
      </c>
      <c r="E350" s="13">
        <v>1000000</v>
      </c>
      <c r="F350" s="5">
        <v>12</v>
      </c>
      <c r="G350" s="13">
        <v>380000</v>
      </c>
      <c r="H350" s="2">
        <f t="shared" si="24"/>
        <v>4560000</v>
      </c>
    </row>
    <row r="351" spans="1:8" s="8" customFormat="1" x14ac:dyDescent="0.25">
      <c r="A351" s="16">
        <v>45978</v>
      </c>
      <c r="B351" s="10" t="s">
        <v>631</v>
      </c>
      <c r="C351" s="17">
        <v>20276766113</v>
      </c>
      <c r="D351" s="4" t="s">
        <v>632</v>
      </c>
      <c r="E351" s="2">
        <v>200000</v>
      </c>
      <c r="F351" s="5">
        <v>12</v>
      </c>
      <c r="G351" s="2">
        <v>76000</v>
      </c>
      <c r="H351" s="2">
        <f t="shared" si="24"/>
        <v>912000</v>
      </c>
    </row>
    <row r="352" spans="1:8" s="8" customFormat="1" x14ac:dyDescent="0.25">
      <c r="A352" s="16">
        <v>45979</v>
      </c>
      <c r="B352" s="10" t="s">
        <v>70</v>
      </c>
      <c r="C352" s="17">
        <v>23233096164</v>
      </c>
      <c r="D352" s="4" t="s">
        <v>71</v>
      </c>
      <c r="E352" s="2">
        <v>300000</v>
      </c>
      <c r="F352" s="5">
        <v>12</v>
      </c>
      <c r="G352" s="2">
        <v>114000</v>
      </c>
      <c r="H352" s="2">
        <f t="shared" si="24"/>
        <v>1368000</v>
      </c>
    </row>
    <row r="353" spans="1:8" s="8" customFormat="1" x14ac:dyDescent="0.25">
      <c r="A353" s="16">
        <v>45980</v>
      </c>
      <c r="B353" s="10" t="s">
        <v>633</v>
      </c>
      <c r="C353" s="17">
        <v>20390134615</v>
      </c>
      <c r="D353" s="4" t="s">
        <v>634</v>
      </c>
      <c r="E353" s="2">
        <v>100000</v>
      </c>
      <c r="F353" s="5">
        <v>12</v>
      </c>
      <c r="G353" s="2">
        <v>38000</v>
      </c>
      <c r="H353" s="2">
        <f t="shared" si="24"/>
        <v>456000</v>
      </c>
    </row>
    <row r="354" spans="1:8" s="8" customFormat="1" x14ac:dyDescent="0.25">
      <c r="A354" s="16">
        <v>45981</v>
      </c>
      <c r="B354" s="10" t="s">
        <v>221</v>
      </c>
      <c r="C354" s="17">
        <v>22515813</v>
      </c>
      <c r="D354" s="4" t="s">
        <v>222</v>
      </c>
      <c r="E354" s="2">
        <v>200000</v>
      </c>
      <c r="F354" s="5">
        <v>12</v>
      </c>
      <c r="G354" s="2">
        <v>76000</v>
      </c>
      <c r="H354" s="2">
        <f t="shared" si="24"/>
        <v>912000</v>
      </c>
    </row>
    <row r="355" spans="1:8" s="8" customFormat="1" x14ac:dyDescent="0.25">
      <c r="A355" s="16">
        <v>45988</v>
      </c>
      <c r="B355" s="10" t="s">
        <v>635</v>
      </c>
      <c r="C355" s="17">
        <v>27281725608</v>
      </c>
      <c r="D355" s="4" t="s">
        <v>636</v>
      </c>
      <c r="E355" s="2">
        <v>100000</v>
      </c>
      <c r="F355" s="5">
        <v>12</v>
      </c>
      <c r="G355" s="2">
        <v>38000</v>
      </c>
      <c r="H355" s="2">
        <f t="shared" si="24"/>
        <v>456000</v>
      </c>
    </row>
    <row r="356" spans="1:8" s="8" customFormat="1" x14ac:dyDescent="0.25">
      <c r="A356" s="16">
        <v>45989</v>
      </c>
      <c r="B356" s="10" t="s">
        <v>126</v>
      </c>
      <c r="C356" s="17">
        <v>27287807339</v>
      </c>
      <c r="D356" s="4" t="s">
        <v>127</v>
      </c>
      <c r="E356" s="2">
        <v>100000</v>
      </c>
      <c r="F356" s="5">
        <v>12</v>
      </c>
      <c r="G356" s="2">
        <v>38000</v>
      </c>
      <c r="H356" s="2">
        <f t="shared" si="24"/>
        <v>456000</v>
      </c>
    </row>
    <row r="357" spans="1:8" s="8" customFormat="1" x14ac:dyDescent="0.25">
      <c r="A357" s="16">
        <v>45989</v>
      </c>
      <c r="B357" s="10" t="s">
        <v>637</v>
      </c>
      <c r="C357" s="17">
        <v>20233090124</v>
      </c>
      <c r="D357" s="4" t="s">
        <v>638</v>
      </c>
      <c r="E357" s="2">
        <v>100000</v>
      </c>
      <c r="F357" s="5">
        <v>12</v>
      </c>
      <c r="G357" s="2">
        <v>38000</v>
      </c>
      <c r="H357" s="2">
        <f t="shared" si="24"/>
        <v>456000</v>
      </c>
    </row>
    <row r="358" spans="1:8" s="8" customFormat="1" x14ac:dyDescent="0.25">
      <c r="A358" s="16">
        <v>45993</v>
      </c>
      <c r="B358" s="10" t="s">
        <v>118</v>
      </c>
      <c r="C358" s="17">
        <v>27120041482</v>
      </c>
      <c r="D358" s="4" t="s">
        <v>119</v>
      </c>
      <c r="E358" s="2">
        <v>300000</v>
      </c>
      <c r="F358" s="5">
        <v>12</v>
      </c>
      <c r="G358" s="2">
        <v>114000</v>
      </c>
      <c r="H358" s="2">
        <f>+G358*F358</f>
        <v>1368000</v>
      </c>
    </row>
    <row r="359" spans="1:8" s="8" customFormat="1" x14ac:dyDescent="0.25">
      <c r="A359" s="16">
        <v>45994</v>
      </c>
      <c r="B359" s="10" t="s">
        <v>508</v>
      </c>
      <c r="C359" s="17">
        <v>27185124962</v>
      </c>
      <c r="D359" s="4" t="s">
        <v>509</v>
      </c>
      <c r="E359" s="2">
        <v>300000</v>
      </c>
      <c r="F359" s="5">
        <v>12</v>
      </c>
      <c r="G359" s="2">
        <v>114000</v>
      </c>
      <c r="H359" s="2">
        <f>+G359*F359</f>
        <v>1368000</v>
      </c>
    </row>
    <row r="360" spans="1:8" s="8" customFormat="1" x14ac:dyDescent="0.25">
      <c r="A360" s="16">
        <v>45995</v>
      </c>
      <c r="B360" s="10" t="s">
        <v>639</v>
      </c>
      <c r="C360" s="17">
        <v>20219449306</v>
      </c>
      <c r="D360" s="4" t="s">
        <v>640</v>
      </c>
      <c r="E360" s="2">
        <v>300000</v>
      </c>
      <c r="F360" s="5">
        <v>12</v>
      </c>
      <c r="G360" s="2">
        <v>114000</v>
      </c>
      <c r="H360" s="2">
        <f>+G360*F360</f>
        <v>1368000</v>
      </c>
    </row>
    <row r="361" spans="1:8" s="8" customFormat="1" x14ac:dyDescent="0.25">
      <c r="A361" s="16">
        <v>45996</v>
      </c>
      <c r="B361" s="10" t="s">
        <v>641</v>
      </c>
      <c r="C361" s="17">
        <v>27213260249</v>
      </c>
      <c r="D361" s="4" t="s">
        <v>642</v>
      </c>
      <c r="E361" s="2">
        <v>300000</v>
      </c>
      <c r="F361" s="5">
        <v>12</v>
      </c>
      <c r="G361" s="2">
        <v>114000</v>
      </c>
      <c r="H361" s="2">
        <f>+G361*F361</f>
        <v>1368000</v>
      </c>
    </row>
    <row r="362" spans="1:8" s="8" customFormat="1" x14ac:dyDescent="0.25">
      <c r="A362" s="16">
        <v>45996</v>
      </c>
      <c r="B362" s="10" t="s">
        <v>643</v>
      </c>
      <c r="C362" s="17">
        <v>20287806540</v>
      </c>
      <c r="D362" s="4" t="s">
        <v>644</v>
      </c>
      <c r="E362" s="2">
        <v>100000</v>
      </c>
      <c r="F362" s="5">
        <v>12</v>
      </c>
      <c r="G362" s="2">
        <v>38000</v>
      </c>
      <c r="H362" s="2">
        <f t="shared" ref="H362:H367" si="25">+G362*F362</f>
        <v>456000</v>
      </c>
    </row>
    <row r="363" spans="1:8" s="8" customFormat="1" x14ac:dyDescent="0.25">
      <c r="A363" s="16">
        <v>45996</v>
      </c>
      <c r="B363" s="10" t="s">
        <v>162</v>
      </c>
      <c r="C363" s="17">
        <v>20333603811</v>
      </c>
      <c r="D363" s="4" t="s">
        <v>163</v>
      </c>
      <c r="E363" s="2">
        <v>200000</v>
      </c>
      <c r="F363" s="5">
        <v>12</v>
      </c>
      <c r="G363" s="2">
        <v>76000</v>
      </c>
      <c r="H363" s="2">
        <f t="shared" si="25"/>
        <v>912000</v>
      </c>
    </row>
    <row r="364" spans="1:8" s="8" customFormat="1" x14ac:dyDescent="0.25">
      <c r="A364" s="16">
        <v>46000</v>
      </c>
      <c r="B364" s="10" t="s">
        <v>645</v>
      </c>
      <c r="C364" s="17">
        <v>27253267300</v>
      </c>
      <c r="D364" s="4" t="s">
        <v>646</v>
      </c>
      <c r="E364" s="2">
        <v>300000</v>
      </c>
      <c r="F364" s="5">
        <v>12</v>
      </c>
      <c r="G364" s="2">
        <v>114000</v>
      </c>
      <c r="H364" s="2">
        <f t="shared" si="25"/>
        <v>1368000</v>
      </c>
    </row>
    <row r="365" spans="1:8" s="8" customFormat="1" x14ac:dyDescent="0.25">
      <c r="A365" s="16">
        <v>46000</v>
      </c>
      <c r="B365" s="10" t="s">
        <v>76</v>
      </c>
      <c r="C365" s="17">
        <v>23183721259</v>
      </c>
      <c r="D365" s="4" t="s">
        <v>77</v>
      </c>
      <c r="E365" s="2">
        <v>500000</v>
      </c>
      <c r="F365" s="5">
        <v>12</v>
      </c>
      <c r="G365" s="2">
        <v>190000</v>
      </c>
      <c r="H365" s="2">
        <f t="shared" si="25"/>
        <v>2280000</v>
      </c>
    </row>
    <row r="366" spans="1:8" s="8" customFormat="1" x14ac:dyDescent="0.25">
      <c r="A366" s="16">
        <v>46001</v>
      </c>
      <c r="B366" s="10" t="s">
        <v>647</v>
      </c>
      <c r="C366" s="17">
        <v>27240655816</v>
      </c>
      <c r="D366" s="4" t="s">
        <v>648</v>
      </c>
      <c r="E366" s="2">
        <v>1000000</v>
      </c>
      <c r="F366" s="5">
        <v>12</v>
      </c>
      <c r="G366" s="2">
        <v>380000</v>
      </c>
      <c r="H366" s="2">
        <f t="shared" si="25"/>
        <v>4560000</v>
      </c>
    </row>
    <row r="367" spans="1:8" s="8" customFormat="1" x14ac:dyDescent="0.25">
      <c r="A367" s="16">
        <v>46001</v>
      </c>
      <c r="B367" s="10" t="s">
        <v>649</v>
      </c>
      <c r="C367" s="17">
        <v>27236045795</v>
      </c>
      <c r="D367" s="4" t="s">
        <v>650</v>
      </c>
      <c r="E367" s="2">
        <v>500000</v>
      </c>
      <c r="F367" s="5">
        <v>12</v>
      </c>
      <c r="G367" s="2">
        <v>190000</v>
      </c>
      <c r="H367" s="2">
        <f t="shared" si="25"/>
        <v>2280000</v>
      </c>
    </row>
    <row r="368" spans="1:8" s="8" customFormat="1" x14ac:dyDescent="0.25">
      <c r="A368" s="16">
        <v>46003</v>
      </c>
      <c r="B368" s="10" t="s">
        <v>652</v>
      </c>
      <c r="C368" s="17">
        <v>20286473424</v>
      </c>
      <c r="D368" s="4" t="s">
        <v>653</v>
      </c>
      <c r="E368" s="2">
        <v>500000</v>
      </c>
      <c r="F368" s="5">
        <v>12</v>
      </c>
      <c r="G368" s="2">
        <v>190000</v>
      </c>
      <c r="H368" s="2">
        <f>+G368*F368</f>
        <v>2280000</v>
      </c>
    </row>
    <row r="369" spans="1:8" s="8" customFormat="1" x14ac:dyDescent="0.25">
      <c r="A369" s="16">
        <v>46003</v>
      </c>
      <c r="B369" s="10" t="s">
        <v>654</v>
      </c>
      <c r="C369" s="17">
        <v>27205889405</v>
      </c>
      <c r="D369" s="4" t="s">
        <v>655</v>
      </c>
      <c r="E369" s="2">
        <v>200000</v>
      </c>
      <c r="F369" s="5">
        <v>12</v>
      </c>
      <c r="G369" s="2">
        <v>76000</v>
      </c>
      <c r="H369" s="2">
        <f>+G369*F369</f>
        <v>912000</v>
      </c>
    </row>
    <row r="370" spans="1:8" s="8" customFormat="1" x14ac:dyDescent="0.25">
      <c r="A370" s="16">
        <v>46007</v>
      </c>
      <c r="B370" s="10" t="s">
        <v>191</v>
      </c>
      <c r="C370" s="17">
        <v>23326281484</v>
      </c>
      <c r="D370" s="4" t="s">
        <v>192</v>
      </c>
      <c r="E370" s="2">
        <v>200000</v>
      </c>
      <c r="F370" s="5">
        <v>12</v>
      </c>
      <c r="G370" s="2">
        <v>76000</v>
      </c>
      <c r="H370" s="2">
        <f>+G370*F370</f>
        <v>912000</v>
      </c>
    </row>
    <row r="371" spans="1:8" s="8" customFormat="1" x14ac:dyDescent="0.25">
      <c r="A371" s="16">
        <v>46008</v>
      </c>
      <c r="B371" s="10" t="s">
        <v>656</v>
      </c>
      <c r="C371" s="17">
        <v>20186016050</v>
      </c>
      <c r="D371" s="4" t="s">
        <v>657</v>
      </c>
      <c r="E371" s="2">
        <v>300000</v>
      </c>
      <c r="F371" s="5">
        <v>12</v>
      </c>
      <c r="G371" s="2">
        <v>114000</v>
      </c>
      <c r="H371" s="2">
        <f>+G371*F371</f>
        <v>1368000</v>
      </c>
    </row>
    <row r="372" spans="1:8" s="8" customFormat="1" x14ac:dyDescent="0.25">
      <c r="A372" s="16">
        <v>46009</v>
      </c>
      <c r="B372" s="10" t="s">
        <v>658</v>
      </c>
      <c r="C372" s="17">
        <v>20294142240</v>
      </c>
      <c r="D372" s="4" t="s">
        <v>659</v>
      </c>
      <c r="E372" s="2">
        <v>100000</v>
      </c>
      <c r="F372" s="5">
        <v>12</v>
      </c>
      <c r="G372" s="2">
        <v>38000</v>
      </c>
      <c r="H372" s="2">
        <f>+G372*F372</f>
        <v>456000</v>
      </c>
    </row>
    <row r="373" spans="1:8" s="8" customFormat="1" x14ac:dyDescent="0.25">
      <c r="A373" s="16">
        <v>46010</v>
      </c>
      <c r="B373" s="10" t="s">
        <v>660</v>
      </c>
      <c r="C373" s="17">
        <v>20281727797</v>
      </c>
      <c r="D373" s="4" t="s">
        <v>661</v>
      </c>
      <c r="E373" s="2">
        <v>300000</v>
      </c>
      <c r="F373" s="5">
        <v>12</v>
      </c>
      <c r="G373" s="2">
        <v>114000</v>
      </c>
      <c r="H373" s="2">
        <f>+G373*F373</f>
        <v>1368000</v>
      </c>
    </row>
    <row r="374" spans="1:8" s="8" customFormat="1" x14ac:dyDescent="0.25">
      <c r="A374" s="16">
        <v>46013</v>
      </c>
      <c r="B374" s="10" t="s">
        <v>662</v>
      </c>
      <c r="C374" s="17">
        <v>20177248259</v>
      </c>
      <c r="D374" s="4" t="s">
        <v>334</v>
      </c>
      <c r="E374" s="2">
        <v>200000</v>
      </c>
      <c r="F374" s="5">
        <v>12</v>
      </c>
      <c r="G374" s="2">
        <v>76000</v>
      </c>
      <c r="H374" s="2">
        <f t="shared" ref="H374:H383" si="26">+G374*F374</f>
        <v>912000</v>
      </c>
    </row>
    <row r="375" spans="1:8" s="8" customFormat="1" x14ac:dyDescent="0.25">
      <c r="A375" s="16">
        <v>46013</v>
      </c>
      <c r="B375" s="10" t="s">
        <v>277</v>
      </c>
      <c r="C375" s="17">
        <v>20324150480</v>
      </c>
      <c r="D375" s="4" t="s">
        <v>278</v>
      </c>
      <c r="E375" s="2">
        <v>500000</v>
      </c>
      <c r="F375" s="5">
        <v>12</v>
      </c>
      <c r="G375" s="2">
        <v>190000</v>
      </c>
      <c r="H375" s="2">
        <f t="shared" si="26"/>
        <v>2280000</v>
      </c>
    </row>
    <row r="376" spans="1:8" s="8" customFormat="1" x14ac:dyDescent="0.25">
      <c r="A376" s="16">
        <v>46014</v>
      </c>
      <c r="B376" s="10" t="s">
        <v>663</v>
      </c>
      <c r="C376" s="17">
        <v>27217315528</v>
      </c>
      <c r="D376" s="4" t="s">
        <v>664</v>
      </c>
      <c r="E376" s="2">
        <v>300000</v>
      </c>
      <c r="F376" s="5">
        <v>12</v>
      </c>
      <c r="G376" s="2">
        <v>114000</v>
      </c>
      <c r="H376" s="2">
        <f t="shared" si="26"/>
        <v>1368000</v>
      </c>
    </row>
    <row r="377" spans="1:8" s="8" customFormat="1" x14ac:dyDescent="0.25">
      <c r="A377" s="16">
        <v>46014</v>
      </c>
      <c r="B377" s="10" t="s">
        <v>171</v>
      </c>
      <c r="C377" s="17">
        <v>20288856169</v>
      </c>
      <c r="D377" s="4" t="s">
        <v>172</v>
      </c>
      <c r="E377" s="2">
        <v>100000</v>
      </c>
      <c r="F377" s="5">
        <v>12</v>
      </c>
      <c r="G377" s="2">
        <v>38000</v>
      </c>
      <c r="H377" s="2">
        <f t="shared" si="26"/>
        <v>456000</v>
      </c>
    </row>
    <row r="378" spans="1:8" s="8" customFormat="1" x14ac:dyDescent="0.25">
      <c r="A378" s="16">
        <v>46017</v>
      </c>
      <c r="B378" s="10" t="s">
        <v>665</v>
      </c>
      <c r="C378" s="17">
        <v>27227515797</v>
      </c>
      <c r="D378" s="4" t="s">
        <v>666</v>
      </c>
      <c r="E378" s="2">
        <v>100000</v>
      </c>
      <c r="F378" s="5">
        <v>12</v>
      </c>
      <c r="G378" s="2">
        <v>38000</v>
      </c>
      <c r="H378" s="2">
        <f t="shared" si="26"/>
        <v>456000</v>
      </c>
    </row>
    <row r="379" spans="1:8" s="8" customFormat="1" x14ac:dyDescent="0.25">
      <c r="A379" s="16">
        <v>46020</v>
      </c>
      <c r="B379" s="10" t="s">
        <v>667</v>
      </c>
      <c r="C379" s="17">
        <v>27129020208</v>
      </c>
      <c r="D379" s="4" t="s">
        <v>668</v>
      </c>
      <c r="E379" s="2">
        <v>500000</v>
      </c>
      <c r="F379" s="5">
        <v>12</v>
      </c>
      <c r="G379" s="2">
        <v>190000</v>
      </c>
      <c r="H379" s="2">
        <f t="shared" si="26"/>
        <v>2280000</v>
      </c>
    </row>
    <row r="380" spans="1:8" s="8" customFormat="1" x14ac:dyDescent="0.25">
      <c r="A380" s="16">
        <v>46020</v>
      </c>
      <c r="B380" s="10" t="s">
        <v>70</v>
      </c>
      <c r="C380" s="17">
        <v>23233096164</v>
      </c>
      <c r="D380" s="4" t="s">
        <v>71</v>
      </c>
      <c r="E380" s="2">
        <v>550000</v>
      </c>
      <c r="F380" s="5">
        <v>12</v>
      </c>
      <c r="G380" s="2">
        <v>380000</v>
      </c>
      <c r="H380" s="2">
        <f t="shared" si="26"/>
        <v>4560000</v>
      </c>
    </row>
    <row r="381" spans="1:8" s="8" customFormat="1" x14ac:dyDescent="0.25">
      <c r="A381" s="16">
        <v>46021</v>
      </c>
      <c r="B381" s="10" t="s">
        <v>273</v>
      </c>
      <c r="C381" s="17">
        <v>20322822104</v>
      </c>
      <c r="D381" s="4" t="s">
        <v>274</v>
      </c>
      <c r="E381" s="2">
        <v>100000</v>
      </c>
      <c r="F381" s="5">
        <v>12</v>
      </c>
      <c r="G381" s="2">
        <v>38000</v>
      </c>
      <c r="H381" s="2">
        <f t="shared" si="26"/>
        <v>456000</v>
      </c>
    </row>
    <row r="382" spans="1:8" s="8" customFormat="1" x14ac:dyDescent="0.25">
      <c r="A382" s="16">
        <v>46027</v>
      </c>
      <c r="B382" s="10" t="s">
        <v>427</v>
      </c>
      <c r="C382" s="17">
        <v>27178596964</v>
      </c>
      <c r="D382" s="4" t="s">
        <v>428</v>
      </c>
      <c r="E382" s="2">
        <v>500000</v>
      </c>
      <c r="F382" s="5">
        <v>12</v>
      </c>
      <c r="G382" s="2">
        <v>190000</v>
      </c>
      <c r="H382" s="2">
        <f t="shared" si="26"/>
        <v>2280000</v>
      </c>
    </row>
    <row r="383" spans="1:8" s="8" customFormat="1" x14ac:dyDescent="0.25">
      <c r="A383" s="16">
        <v>46027</v>
      </c>
      <c r="B383" s="10" t="s">
        <v>285</v>
      </c>
      <c r="C383" s="17">
        <v>27175296765</v>
      </c>
      <c r="D383" s="4" t="s">
        <v>286</v>
      </c>
      <c r="E383" s="2">
        <v>800000</v>
      </c>
      <c r="F383" s="5">
        <v>12</v>
      </c>
      <c r="G383" s="2">
        <v>304000</v>
      </c>
      <c r="H383" s="2">
        <f t="shared" si="26"/>
        <v>3648000</v>
      </c>
    </row>
    <row r="384" spans="1:8" s="8" customFormat="1" x14ac:dyDescent="0.25">
      <c r="A384" s="16">
        <v>46029</v>
      </c>
      <c r="B384" s="10" t="s">
        <v>669</v>
      </c>
      <c r="C384" s="17">
        <v>27243805142</v>
      </c>
      <c r="D384" s="4" t="s">
        <v>670</v>
      </c>
      <c r="E384" s="2">
        <v>300000</v>
      </c>
      <c r="F384" s="5">
        <v>12</v>
      </c>
      <c r="G384" s="2">
        <v>114000</v>
      </c>
      <c r="H384" s="2">
        <f>+G384*F384</f>
        <v>1368000</v>
      </c>
    </row>
    <row r="385" spans="1:8" s="8" customFormat="1" x14ac:dyDescent="0.25">
      <c r="A385" s="16">
        <v>46030</v>
      </c>
      <c r="B385" s="10" t="s">
        <v>671</v>
      </c>
      <c r="C385" s="17">
        <v>27279082619</v>
      </c>
      <c r="D385" s="4" t="s">
        <v>672</v>
      </c>
      <c r="E385" s="2">
        <v>200000</v>
      </c>
      <c r="F385" s="5">
        <v>12</v>
      </c>
      <c r="G385" s="2">
        <v>76000</v>
      </c>
      <c r="H385" s="2">
        <f t="shared" ref="H385:H396" si="27">+G385*F385</f>
        <v>912000</v>
      </c>
    </row>
    <row r="386" spans="1:8" s="8" customFormat="1" x14ac:dyDescent="0.25">
      <c r="A386" s="16">
        <v>46030</v>
      </c>
      <c r="B386" s="10" t="s">
        <v>673</v>
      </c>
      <c r="C386" s="17">
        <v>27386275446</v>
      </c>
      <c r="D386" s="4" t="s">
        <v>674</v>
      </c>
      <c r="E386" s="2">
        <v>100000</v>
      </c>
      <c r="F386" s="5">
        <v>12</v>
      </c>
      <c r="G386" s="2">
        <v>38000</v>
      </c>
      <c r="H386" s="2">
        <f t="shared" si="27"/>
        <v>456000</v>
      </c>
    </row>
    <row r="387" spans="1:8" s="8" customFormat="1" x14ac:dyDescent="0.25">
      <c r="A387" s="16">
        <v>46031</v>
      </c>
      <c r="B387" s="10" t="s">
        <v>675</v>
      </c>
      <c r="C387" s="17">
        <v>27267685431</v>
      </c>
      <c r="D387" s="4" t="s">
        <v>676</v>
      </c>
      <c r="E387" s="2">
        <v>200000</v>
      </c>
      <c r="F387" s="5">
        <v>12</v>
      </c>
      <c r="G387" s="2">
        <v>76000</v>
      </c>
      <c r="H387" s="2">
        <f t="shared" si="27"/>
        <v>912000</v>
      </c>
    </row>
    <row r="388" spans="1:8" s="8" customFormat="1" x14ac:dyDescent="0.25">
      <c r="A388" s="16">
        <v>46031</v>
      </c>
      <c r="B388" s="10" t="s">
        <v>677</v>
      </c>
      <c r="C388" s="17">
        <v>27320277154</v>
      </c>
      <c r="D388" s="4" t="s">
        <v>678</v>
      </c>
      <c r="E388" s="2">
        <v>1000000</v>
      </c>
      <c r="F388" s="5">
        <v>12</v>
      </c>
      <c r="G388" s="2">
        <v>380000</v>
      </c>
      <c r="H388" s="2">
        <f t="shared" si="27"/>
        <v>4560000</v>
      </c>
    </row>
    <row r="389" spans="1:8" s="8" customFormat="1" x14ac:dyDescent="0.25">
      <c r="A389" s="16">
        <v>46035</v>
      </c>
      <c r="B389" s="10" t="s">
        <v>76</v>
      </c>
      <c r="C389" s="17">
        <v>23183721259</v>
      </c>
      <c r="D389" s="4" t="s">
        <v>77</v>
      </c>
      <c r="E389" s="2">
        <v>1000000</v>
      </c>
      <c r="F389" s="5">
        <v>12</v>
      </c>
      <c r="G389" s="2">
        <v>380000</v>
      </c>
      <c r="H389" s="2">
        <f t="shared" si="27"/>
        <v>4560000</v>
      </c>
    </row>
    <row r="390" spans="1:8" s="8" customFormat="1" x14ac:dyDescent="0.25">
      <c r="A390" s="16">
        <v>46035</v>
      </c>
      <c r="B390" s="10" t="s">
        <v>679</v>
      </c>
      <c r="C390" s="17">
        <v>20339259977</v>
      </c>
      <c r="D390" s="4" t="s">
        <v>680</v>
      </c>
      <c r="E390" s="2">
        <v>200000</v>
      </c>
      <c r="F390" s="5">
        <v>12</v>
      </c>
      <c r="G390" s="2">
        <v>76000</v>
      </c>
      <c r="H390" s="2">
        <f t="shared" si="27"/>
        <v>912000</v>
      </c>
    </row>
    <row r="391" spans="1:8" s="8" customFormat="1" x14ac:dyDescent="0.25">
      <c r="A391" s="16">
        <v>46035</v>
      </c>
      <c r="B391" s="10" t="s">
        <v>681</v>
      </c>
      <c r="C391" s="17">
        <v>27221876968</v>
      </c>
      <c r="D391" s="4" t="s">
        <v>682</v>
      </c>
      <c r="E391" s="2">
        <v>500000</v>
      </c>
      <c r="F391" s="5">
        <v>12</v>
      </c>
      <c r="G391" s="2">
        <v>190000</v>
      </c>
      <c r="H391" s="2">
        <f t="shared" si="27"/>
        <v>2280000</v>
      </c>
    </row>
    <row r="392" spans="1:8" s="8" customFormat="1" x14ac:dyDescent="0.25">
      <c r="A392" s="16">
        <v>46035</v>
      </c>
      <c r="B392" s="10" t="s">
        <v>683</v>
      </c>
      <c r="C392" s="17">
        <v>20139969252</v>
      </c>
      <c r="D392" s="4" t="s">
        <v>684</v>
      </c>
      <c r="E392" s="2">
        <v>500000</v>
      </c>
      <c r="F392" s="5">
        <v>12</v>
      </c>
      <c r="G392" s="2">
        <v>190000</v>
      </c>
      <c r="H392" s="2">
        <f t="shared" si="27"/>
        <v>2280000</v>
      </c>
    </row>
    <row r="393" spans="1:8" s="8" customFormat="1" x14ac:dyDescent="0.25">
      <c r="A393" s="16">
        <v>46036</v>
      </c>
      <c r="B393" s="10" t="s">
        <v>685</v>
      </c>
      <c r="C393" s="17">
        <v>27243608509</v>
      </c>
      <c r="D393" s="4" t="s">
        <v>686</v>
      </c>
      <c r="E393" s="2">
        <v>300000</v>
      </c>
      <c r="F393" s="5">
        <v>12</v>
      </c>
      <c r="G393" s="2">
        <v>114000</v>
      </c>
      <c r="H393" s="2">
        <f t="shared" si="27"/>
        <v>1368000</v>
      </c>
    </row>
    <row r="394" spans="1:8" s="8" customFormat="1" x14ac:dyDescent="0.25">
      <c r="A394" s="16">
        <v>46037</v>
      </c>
      <c r="B394" s="10" t="s">
        <v>154</v>
      </c>
      <c r="C394" s="17">
        <v>27305046340</v>
      </c>
      <c r="D394" s="4" t="s">
        <v>155</v>
      </c>
      <c r="E394" s="2">
        <v>200000</v>
      </c>
      <c r="F394" s="5">
        <v>12</v>
      </c>
      <c r="G394" s="2">
        <v>76000</v>
      </c>
      <c r="H394" s="2">
        <f t="shared" si="27"/>
        <v>912000</v>
      </c>
    </row>
    <row r="395" spans="1:8" s="8" customFormat="1" x14ac:dyDescent="0.25">
      <c r="A395" s="16">
        <v>46037</v>
      </c>
      <c r="B395" s="10" t="s">
        <v>369</v>
      </c>
      <c r="C395" s="17">
        <v>27292599515</v>
      </c>
      <c r="D395" s="4" t="s">
        <v>370</v>
      </c>
      <c r="E395" s="2">
        <v>200000</v>
      </c>
      <c r="F395" s="5">
        <v>12</v>
      </c>
      <c r="G395" s="2">
        <v>76000</v>
      </c>
      <c r="H395" s="2">
        <f t="shared" si="27"/>
        <v>912000</v>
      </c>
    </row>
    <row r="396" spans="1:8" s="8" customFormat="1" x14ac:dyDescent="0.25">
      <c r="A396" s="16">
        <v>46037</v>
      </c>
      <c r="B396" s="10" t="s">
        <v>687</v>
      </c>
      <c r="C396" s="17">
        <v>27239200252</v>
      </c>
      <c r="D396" s="4" t="s">
        <v>688</v>
      </c>
      <c r="E396" s="2">
        <v>200000</v>
      </c>
      <c r="F396" s="5">
        <v>12</v>
      </c>
      <c r="G396" s="2">
        <v>76000</v>
      </c>
      <c r="H396" s="2">
        <f t="shared" si="27"/>
        <v>912000</v>
      </c>
    </row>
    <row r="397" spans="1:8" s="8" customFormat="1" x14ac:dyDescent="0.25">
      <c r="A397" s="16">
        <v>46038</v>
      </c>
      <c r="B397" s="10" t="s">
        <v>689</v>
      </c>
      <c r="C397" s="17">
        <v>20164819974</v>
      </c>
      <c r="D397" s="4" t="s">
        <v>690</v>
      </c>
      <c r="E397" s="2">
        <v>700000</v>
      </c>
      <c r="F397" s="5">
        <v>12</v>
      </c>
      <c r="G397" s="2">
        <v>266000</v>
      </c>
      <c r="H397" s="2">
        <f>+G397*F397</f>
        <v>3192000</v>
      </c>
    </row>
    <row r="398" spans="1:8" s="8" customFormat="1" x14ac:dyDescent="0.25">
      <c r="A398" s="16">
        <v>46038</v>
      </c>
      <c r="B398" s="10" t="s">
        <v>691</v>
      </c>
      <c r="C398" s="17">
        <v>27326881576</v>
      </c>
      <c r="D398" s="4" t="s">
        <v>692</v>
      </c>
      <c r="E398" s="2">
        <v>700000</v>
      </c>
      <c r="F398" s="5">
        <v>12</v>
      </c>
      <c r="G398" s="2">
        <v>266000</v>
      </c>
      <c r="H398" s="2">
        <f>+G398*F398</f>
        <v>3192000</v>
      </c>
    </row>
    <row r="399" spans="1:8" s="8" customFormat="1" x14ac:dyDescent="0.25">
      <c r="A399" s="16">
        <v>46041</v>
      </c>
      <c r="B399" s="10" t="s">
        <v>146</v>
      </c>
      <c r="C399" s="17">
        <v>27251179269</v>
      </c>
      <c r="D399" s="4" t="s">
        <v>147</v>
      </c>
      <c r="E399" s="2">
        <v>500000</v>
      </c>
      <c r="F399" s="5">
        <v>12</v>
      </c>
      <c r="G399" s="2">
        <v>190000</v>
      </c>
      <c r="H399" s="2">
        <f>+G399*F399</f>
        <v>2280000</v>
      </c>
    </row>
    <row r="400" spans="1:8" s="8" customFormat="1" x14ac:dyDescent="0.25">
      <c r="A400" s="16">
        <v>46043</v>
      </c>
      <c r="B400" s="10" t="s">
        <v>74</v>
      </c>
      <c r="C400" s="17">
        <v>20177795993</v>
      </c>
      <c r="D400" s="4" t="s">
        <v>75</v>
      </c>
      <c r="E400" s="2">
        <v>300000</v>
      </c>
      <c r="F400" s="5">
        <v>12</v>
      </c>
      <c r="G400" s="2">
        <v>114000</v>
      </c>
      <c r="H400" s="2">
        <f>+G400*F400</f>
        <v>1368000</v>
      </c>
    </row>
    <row r="401" spans="1:8" s="8" customFormat="1" x14ac:dyDescent="0.25">
      <c r="A401" s="16">
        <v>46044</v>
      </c>
      <c r="B401" s="10" t="s">
        <v>397</v>
      </c>
      <c r="C401" s="17">
        <v>27222552074</v>
      </c>
      <c r="D401" s="4" t="s">
        <v>398</v>
      </c>
      <c r="E401" s="2">
        <v>500000</v>
      </c>
      <c r="F401" s="5">
        <v>12</v>
      </c>
      <c r="G401" s="2">
        <v>190000</v>
      </c>
      <c r="H401" s="2">
        <f t="shared" ref="H401:H404" si="28">+G401*F401</f>
        <v>2280000</v>
      </c>
    </row>
    <row r="402" spans="1:8" s="8" customFormat="1" x14ac:dyDescent="0.25">
      <c r="A402" s="16">
        <v>46044</v>
      </c>
      <c r="B402" s="10" t="s">
        <v>693</v>
      </c>
      <c r="C402" s="17">
        <v>27146022923</v>
      </c>
      <c r="D402" s="4" t="s">
        <v>694</v>
      </c>
      <c r="E402" s="2">
        <v>500000</v>
      </c>
      <c r="F402" s="5">
        <v>12</v>
      </c>
      <c r="G402" s="2">
        <v>190000</v>
      </c>
      <c r="H402" s="2">
        <f t="shared" si="28"/>
        <v>2280000</v>
      </c>
    </row>
    <row r="403" spans="1:8" s="8" customFormat="1" x14ac:dyDescent="0.25">
      <c r="A403" s="16">
        <v>46049</v>
      </c>
      <c r="B403" s="10" t="s">
        <v>695</v>
      </c>
      <c r="C403" s="17">
        <v>23351662719</v>
      </c>
      <c r="D403" s="4" t="s">
        <v>696</v>
      </c>
      <c r="E403" s="2">
        <v>300000</v>
      </c>
      <c r="F403" s="5">
        <v>12</v>
      </c>
      <c r="G403" s="2">
        <v>114000</v>
      </c>
      <c r="H403" s="2">
        <f t="shared" si="28"/>
        <v>1368000</v>
      </c>
    </row>
    <row r="404" spans="1:8" s="8" customFormat="1" x14ac:dyDescent="0.25">
      <c r="A404" s="16">
        <v>46049</v>
      </c>
      <c r="B404" s="10" t="s">
        <v>697</v>
      </c>
      <c r="C404" s="17">
        <v>20371652141</v>
      </c>
      <c r="D404" s="4" t="s">
        <v>698</v>
      </c>
      <c r="E404" s="2">
        <v>1000000</v>
      </c>
      <c r="F404" s="5">
        <v>12</v>
      </c>
      <c r="G404" s="2">
        <v>380000</v>
      </c>
      <c r="H404" s="2">
        <f t="shared" si="28"/>
        <v>4560000</v>
      </c>
    </row>
    <row r="405" spans="1:8" s="8" customFormat="1" x14ac:dyDescent="0.25">
      <c r="A405" s="16">
        <v>46051</v>
      </c>
      <c r="B405" s="10" t="s">
        <v>699</v>
      </c>
      <c r="C405" s="17">
        <v>27200718645</v>
      </c>
      <c r="D405" s="4" t="s">
        <v>700</v>
      </c>
      <c r="E405" s="2">
        <v>200000</v>
      </c>
      <c r="F405" s="5">
        <v>12</v>
      </c>
      <c r="G405" s="2">
        <v>76000</v>
      </c>
      <c r="H405" s="2">
        <f>+G405*F405</f>
        <v>912000</v>
      </c>
    </row>
    <row r="406" spans="1:8" s="8" customFormat="1" x14ac:dyDescent="0.25">
      <c r="A406" s="16">
        <v>46051</v>
      </c>
      <c r="B406" s="10" t="s">
        <v>701</v>
      </c>
      <c r="C406" s="17">
        <v>27174283910</v>
      </c>
      <c r="D406" s="4" t="s">
        <v>702</v>
      </c>
      <c r="E406" s="2">
        <v>500000</v>
      </c>
      <c r="F406" s="5">
        <v>12</v>
      </c>
      <c r="G406" s="2">
        <v>114000</v>
      </c>
      <c r="H406" s="2">
        <f t="shared" ref="H406:H409" si="29">+G406*F406</f>
        <v>1368000</v>
      </c>
    </row>
    <row r="407" spans="1:8" s="8" customFormat="1" x14ac:dyDescent="0.25">
      <c r="A407" s="16">
        <v>46051</v>
      </c>
      <c r="B407" s="10" t="s">
        <v>703</v>
      </c>
      <c r="C407" s="17">
        <v>20213259106</v>
      </c>
      <c r="D407" s="4" t="s">
        <v>704</v>
      </c>
      <c r="E407" s="2">
        <v>100000</v>
      </c>
      <c r="F407" s="5">
        <v>12</v>
      </c>
      <c r="G407" s="2">
        <v>38000</v>
      </c>
      <c r="H407" s="2">
        <f t="shared" si="29"/>
        <v>456000</v>
      </c>
    </row>
    <row r="408" spans="1:8" s="8" customFormat="1" x14ac:dyDescent="0.25">
      <c r="A408" s="16">
        <v>46052</v>
      </c>
      <c r="B408" s="10" t="s">
        <v>705</v>
      </c>
      <c r="C408" s="17">
        <v>27140582323</v>
      </c>
      <c r="D408" s="4" t="s">
        <v>706</v>
      </c>
      <c r="E408" s="2">
        <v>1000000</v>
      </c>
      <c r="F408" s="5">
        <v>12</v>
      </c>
      <c r="G408" s="2">
        <v>380000</v>
      </c>
      <c r="H408" s="2">
        <f t="shared" si="29"/>
        <v>4560000</v>
      </c>
    </row>
    <row r="409" spans="1:8" s="8" customFormat="1" x14ac:dyDescent="0.25">
      <c r="A409" s="16">
        <v>46052</v>
      </c>
      <c r="B409" s="10" t="s">
        <v>707</v>
      </c>
      <c r="C409" s="17">
        <v>20236602452</v>
      </c>
      <c r="D409" s="4" t="s">
        <v>708</v>
      </c>
      <c r="E409" s="2">
        <v>500000</v>
      </c>
      <c r="F409" s="5">
        <v>12</v>
      </c>
      <c r="G409" s="2">
        <v>190000</v>
      </c>
      <c r="H409" s="2">
        <f t="shared" si="29"/>
        <v>2280000</v>
      </c>
    </row>
    <row r="410" spans="1:8" s="8" customFormat="1" x14ac:dyDescent="0.25">
      <c r="A410" s="16">
        <v>46056</v>
      </c>
      <c r="B410" s="10" t="s">
        <v>403</v>
      </c>
      <c r="C410" s="17">
        <v>20254831825</v>
      </c>
      <c r="D410" s="4" t="s">
        <v>404</v>
      </c>
      <c r="E410" s="2">
        <v>200000</v>
      </c>
      <c r="F410" s="5">
        <v>12</v>
      </c>
      <c r="G410" s="2">
        <v>76000</v>
      </c>
      <c r="H410" s="2">
        <f>+G410*F410</f>
        <v>912000</v>
      </c>
    </row>
    <row r="411" spans="1:8" s="8" customFormat="1" x14ac:dyDescent="0.25">
      <c r="A411" s="16">
        <v>46057</v>
      </c>
      <c r="B411" s="10" t="s">
        <v>709</v>
      </c>
      <c r="C411" s="17">
        <v>27299721448</v>
      </c>
      <c r="D411" s="4" t="s">
        <v>710</v>
      </c>
      <c r="E411" s="2">
        <v>1000000</v>
      </c>
      <c r="F411" s="5">
        <v>12</v>
      </c>
      <c r="G411" s="2">
        <v>380000</v>
      </c>
      <c r="H411" s="2">
        <f t="shared" ref="H411:H413" si="30">+G411*F411</f>
        <v>4560000</v>
      </c>
    </row>
    <row r="412" spans="1:8" s="8" customFormat="1" x14ac:dyDescent="0.25">
      <c r="A412" s="16">
        <v>46057</v>
      </c>
      <c r="B412" s="10" t="s">
        <v>711</v>
      </c>
      <c r="C412" s="17">
        <v>20102420269</v>
      </c>
      <c r="D412" s="4" t="s">
        <v>712</v>
      </c>
      <c r="E412" s="2">
        <v>1000000</v>
      </c>
      <c r="F412" s="5">
        <v>12</v>
      </c>
      <c r="G412" s="2">
        <v>380000</v>
      </c>
      <c r="H412" s="2">
        <f t="shared" si="30"/>
        <v>4560000</v>
      </c>
    </row>
    <row r="413" spans="1:8" s="8" customFormat="1" x14ac:dyDescent="0.25">
      <c r="A413" s="16">
        <v>46063</v>
      </c>
      <c r="B413" s="10" t="s">
        <v>197</v>
      </c>
      <c r="C413" s="17">
        <v>27259289780</v>
      </c>
      <c r="D413" s="4" t="s">
        <v>198</v>
      </c>
      <c r="E413" s="2">
        <v>300000</v>
      </c>
      <c r="F413" s="5">
        <v>12</v>
      </c>
      <c r="G413" s="2">
        <v>114000</v>
      </c>
      <c r="H413" s="2">
        <f t="shared" si="30"/>
        <v>1368000</v>
      </c>
    </row>
    <row r="414" spans="1:8" s="8" customFormat="1" x14ac:dyDescent="0.25">
      <c r="A414" s="16">
        <v>46064</v>
      </c>
      <c r="B414" s="10" t="s">
        <v>713</v>
      </c>
      <c r="C414" s="17">
        <v>27326814704</v>
      </c>
      <c r="D414" s="4" t="s">
        <v>5</v>
      </c>
      <c r="E414" s="2">
        <v>100000</v>
      </c>
      <c r="F414" s="5">
        <v>12</v>
      </c>
      <c r="G414" s="2">
        <v>38000</v>
      </c>
      <c r="H414" s="2">
        <f>+G414*F414</f>
        <v>456000</v>
      </c>
    </row>
    <row r="415" spans="1:8" s="8" customFormat="1" x14ac:dyDescent="0.25">
      <c r="A415" s="16">
        <v>46065</v>
      </c>
      <c r="B415" s="10" t="s">
        <v>714</v>
      </c>
      <c r="C415" s="17">
        <v>20122379854</v>
      </c>
      <c r="D415" s="4" t="s">
        <v>715</v>
      </c>
      <c r="E415" s="2">
        <v>300000</v>
      </c>
      <c r="F415" s="5">
        <v>12</v>
      </c>
      <c r="G415" s="2">
        <v>114000</v>
      </c>
      <c r="H415" s="2">
        <f>+G415*F415</f>
        <v>1368000</v>
      </c>
    </row>
    <row r="416" spans="1:8" s="8" customFormat="1" x14ac:dyDescent="0.25">
      <c r="A416" s="16">
        <v>46066</v>
      </c>
      <c r="B416" s="10" t="s">
        <v>716</v>
      </c>
      <c r="C416" s="17">
        <v>27218708825</v>
      </c>
      <c r="D416" s="4" t="s">
        <v>717</v>
      </c>
      <c r="E416" s="2">
        <v>1000000</v>
      </c>
      <c r="F416" s="5">
        <v>12</v>
      </c>
      <c r="G416" s="2">
        <v>380000</v>
      </c>
      <c r="H416" s="2">
        <f>+G416*F416</f>
        <v>4560000</v>
      </c>
    </row>
    <row r="417" spans="1:8" s="8" customFormat="1" x14ac:dyDescent="0.25">
      <c r="A417" s="16">
        <v>46071</v>
      </c>
      <c r="B417" s="10" t="s">
        <v>718</v>
      </c>
      <c r="C417" s="17">
        <v>20280765555</v>
      </c>
      <c r="D417" s="4" t="s">
        <v>719</v>
      </c>
      <c r="E417" s="2">
        <v>200000</v>
      </c>
      <c r="F417" s="5">
        <v>12</v>
      </c>
      <c r="G417" s="2">
        <v>76000</v>
      </c>
      <c r="H417" s="2">
        <f>+G417*F417</f>
        <v>912000</v>
      </c>
    </row>
    <row r="418" spans="1:8" s="8" customFormat="1" x14ac:dyDescent="0.25">
      <c r="A418" s="16">
        <v>46073</v>
      </c>
      <c r="B418" s="10" t="s">
        <v>720</v>
      </c>
      <c r="C418" s="17">
        <v>27266852482</v>
      </c>
      <c r="D418" s="4" t="s">
        <v>721</v>
      </c>
      <c r="E418" s="2">
        <v>500000</v>
      </c>
      <c r="F418" s="5">
        <v>12</v>
      </c>
      <c r="G418" s="2">
        <v>190000</v>
      </c>
      <c r="H418" s="2">
        <f t="shared" ref="H418:H421" si="31">+G418*F418</f>
        <v>2280000</v>
      </c>
    </row>
    <row r="419" spans="1:8" s="8" customFormat="1" x14ac:dyDescent="0.25">
      <c r="A419" s="16">
        <v>46073</v>
      </c>
      <c r="B419" s="10" t="s">
        <v>722</v>
      </c>
      <c r="C419" s="17">
        <v>20341295913</v>
      </c>
      <c r="D419" s="4" t="s">
        <v>723</v>
      </c>
      <c r="E419" s="2">
        <v>200000</v>
      </c>
      <c r="F419" s="5">
        <v>12</v>
      </c>
      <c r="G419" s="2">
        <v>76000</v>
      </c>
      <c r="H419" s="2">
        <f t="shared" si="31"/>
        <v>912000</v>
      </c>
    </row>
    <row r="420" spans="1:8" s="8" customFormat="1" x14ac:dyDescent="0.25">
      <c r="A420" s="16">
        <v>46073</v>
      </c>
      <c r="B420" s="10" t="s">
        <v>325</v>
      </c>
      <c r="C420" s="17">
        <v>27313104007</v>
      </c>
      <c r="D420" s="4" t="s">
        <v>326</v>
      </c>
      <c r="E420" s="2">
        <v>300000</v>
      </c>
      <c r="F420" s="5">
        <v>12</v>
      </c>
      <c r="G420" s="2">
        <v>114000</v>
      </c>
      <c r="H420" s="2">
        <f t="shared" si="31"/>
        <v>1368000</v>
      </c>
    </row>
    <row r="421" spans="1:8" s="8" customFormat="1" x14ac:dyDescent="0.25">
      <c r="A421" s="16">
        <v>46073</v>
      </c>
      <c r="B421" s="10" t="s">
        <v>540</v>
      </c>
      <c r="C421" s="17">
        <v>27184489185</v>
      </c>
      <c r="D421" s="4" t="s">
        <v>541</v>
      </c>
      <c r="E421" s="2">
        <v>500000</v>
      </c>
      <c r="F421" s="5">
        <v>12</v>
      </c>
      <c r="G421" s="2">
        <v>190000</v>
      </c>
      <c r="H421" s="2">
        <f t="shared" si="31"/>
        <v>2280000</v>
      </c>
    </row>
    <row r="422" spans="1:8" s="8" customFormat="1" x14ac:dyDescent="0.25">
      <c r="A422" s="16">
        <v>46076</v>
      </c>
      <c r="B422" s="10" t="s">
        <v>665</v>
      </c>
      <c r="C422" s="17">
        <v>27227515797</v>
      </c>
      <c r="D422" s="4" t="s">
        <v>666</v>
      </c>
      <c r="E422" s="2">
        <v>300000</v>
      </c>
      <c r="F422" s="5">
        <v>12</v>
      </c>
      <c r="G422" s="2">
        <v>114000</v>
      </c>
      <c r="H422" s="2">
        <f>+G422*F422</f>
        <v>1368000</v>
      </c>
    </row>
    <row r="423" spans="1:8" s="8" customFormat="1" x14ac:dyDescent="0.25">
      <c r="A423" s="16">
        <v>46076</v>
      </c>
      <c r="B423" s="10" t="s">
        <v>577</v>
      </c>
      <c r="C423" s="17">
        <v>23146014119</v>
      </c>
      <c r="D423" s="4" t="s">
        <v>578</v>
      </c>
      <c r="E423" s="2">
        <v>200000</v>
      </c>
      <c r="F423" s="5">
        <v>12</v>
      </c>
      <c r="G423" s="2">
        <v>76000</v>
      </c>
      <c r="H423" s="2">
        <f>+G423*F423</f>
        <v>912000</v>
      </c>
    </row>
    <row r="424" spans="1:8" s="8" customFormat="1" x14ac:dyDescent="0.25">
      <c r="A424" s="16">
        <v>46077</v>
      </c>
      <c r="B424" s="10" t="s">
        <v>724</v>
      </c>
      <c r="C424" s="17">
        <v>27279171638</v>
      </c>
      <c r="D424" s="4" t="s">
        <v>725</v>
      </c>
      <c r="E424" s="2">
        <v>500000</v>
      </c>
      <c r="F424" s="5">
        <v>12</v>
      </c>
      <c r="G424" s="2">
        <v>190000</v>
      </c>
      <c r="H424" s="2">
        <f>+G424*F424</f>
        <v>2280000</v>
      </c>
    </row>
    <row r="425" spans="1:8" s="8" customFormat="1" x14ac:dyDescent="0.25">
      <c r="A425" s="16">
        <v>46078</v>
      </c>
      <c r="B425" s="10" t="s">
        <v>726</v>
      </c>
      <c r="C425" s="17">
        <v>27240652604</v>
      </c>
      <c r="D425" s="4" t="s">
        <v>727</v>
      </c>
      <c r="E425" s="2">
        <v>500000</v>
      </c>
      <c r="F425" s="5">
        <v>12</v>
      </c>
      <c r="G425" s="2">
        <v>190000</v>
      </c>
      <c r="H425" s="2">
        <f>+G425*F425</f>
        <v>2280000</v>
      </c>
    </row>
    <row r="426" spans="1:8" s="8" customFormat="1" x14ac:dyDescent="0.25">
      <c r="A426" s="16">
        <v>46079</v>
      </c>
      <c r="B426" s="10" t="s">
        <v>728</v>
      </c>
      <c r="C426" s="17">
        <v>27213254044</v>
      </c>
      <c r="D426" s="4" t="s">
        <v>729</v>
      </c>
      <c r="E426" s="2">
        <v>500000</v>
      </c>
      <c r="F426" s="5">
        <v>12</v>
      </c>
      <c r="G426" s="2">
        <v>190000</v>
      </c>
      <c r="H426" s="2">
        <f>+G426*F426</f>
        <v>2280000</v>
      </c>
    </row>
    <row r="427" spans="1:8" s="8" customFormat="1" x14ac:dyDescent="0.25">
      <c r="A427" s="16">
        <v>46080</v>
      </c>
      <c r="B427" s="10" t="s">
        <v>730</v>
      </c>
      <c r="C427" s="17">
        <v>23136041924</v>
      </c>
      <c r="D427" s="4" t="s">
        <v>102</v>
      </c>
      <c r="E427" s="2">
        <v>300000</v>
      </c>
      <c r="F427" s="5">
        <v>12</v>
      </c>
      <c r="G427" s="2">
        <v>114000</v>
      </c>
      <c r="H427" s="2">
        <f t="shared" ref="H427:H445" si="32">+G427*F427</f>
        <v>1368000</v>
      </c>
    </row>
    <row r="428" spans="1:8" s="8" customFormat="1" x14ac:dyDescent="0.25">
      <c r="A428" s="16">
        <v>46083</v>
      </c>
      <c r="B428" s="10" t="s">
        <v>429</v>
      </c>
      <c r="C428" s="17">
        <v>27142962042</v>
      </c>
      <c r="D428" s="4" t="s">
        <v>430</v>
      </c>
      <c r="E428" s="2">
        <v>500000</v>
      </c>
      <c r="F428" s="5">
        <v>12</v>
      </c>
      <c r="G428" s="2">
        <v>190000</v>
      </c>
      <c r="H428" s="2">
        <f t="shared" si="32"/>
        <v>2280000</v>
      </c>
    </row>
    <row r="429" spans="1:8" s="8" customFormat="1" x14ac:dyDescent="0.25">
      <c r="A429" s="16">
        <v>46084</v>
      </c>
      <c r="B429" s="10" t="s">
        <v>731</v>
      </c>
      <c r="C429" s="17">
        <v>27056023971</v>
      </c>
      <c r="D429" s="4" t="s">
        <v>732</v>
      </c>
      <c r="E429" s="2">
        <v>1000000</v>
      </c>
      <c r="F429" s="5">
        <v>12</v>
      </c>
      <c r="G429" s="2">
        <v>310000</v>
      </c>
      <c r="H429" s="2">
        <f t="shared" si="32"/>
        <v>3720000</v>
      </c>
    </row>
    <row r="430" spans="1:8" s="8" customFormat="1" x14ac:dyDescent="0.25">
      <c r="A430" s="16">
        <v>46084</v>
      </c>
      <c r="B430" s="10" t="s">
        <v>733</v>
      </c>
      <c r="C430" s="17">
        <v>27295270166</v>
      </c>
      <c r="D430" s="4" t="s">
        <v>734</v>
      </c>
      <c r="E430" s="2">
        <v>100000</v>
      </c>
      <c r="F430" s="5">
        <v>12</v>
      </c>
      <c r="G430" s="2">
        <v>31000</v>
      </c>
      <c r="H430" s="2">
        <f t="shared" si="32"/>
        <v>372000</v>
      </c>
    </row>
    <row r="431" spans="1:8" s="8" customFormat="1" x14ac:dyDescent="0.25">
      <c r="A431" s="16">
        <v>46084</v>
      </c>
      <c r="B431" s="10" t="s">
        <v>735</v>
      </c>
      <c r="C431" s="17">
        <v>27200711527</v>
      </c>
      <c r="D431" s="4" t="s">
        <v>736</v>
      </c>
      <c r="E431" s="2">
        <v>300000</v>
      </c>
      <c r="F431" s="5">
        <v>12</v>
      </c>
      <c r="G431" s="2">
        <v>93000</v>
      </c>
      <c r="H431" s="2">
        <f t="shared" si="32"/>
        <v>1116000</v>
      </c>
    </row>
    <row r="432" spans="1:8" s="8" customFormat="1" x14ac:dyDescent="0.25">
      <c r="A432" s="16">
        <v>46084</v>
      </c>
      <c r="B432" s="10" t="s">
        <v>305</v>
      </c>
      <c r="C432" s="17">
        <v>27376373482</v>
      </c>
      <c r="D432" s="4" t="s">
        <v>306</v>
      </c>
      <c r="E432" s="2">
        <v>200000</v>
      </c>
      <c r="F432" s="5">
        <v>12</v>
      </c>
      <c r="G432" s="2">
        <v>62000</v>
      </c>
      <c r="H432" s="2">
        <f t="shared" si="32"/>
        <v>744000</v>
      </c>
    </row>
    <row r="433" spans="1:8" s="8" customFormat="1" x14ac:dyDescent="0.25">
      <c r="A433" s="16">
        <v>46084</v>
      </c>
      <c r="B433" s="10" t="s">
        <v>737</v>
      </c>
      <c r="C433" s="17">
        <v>20166671699</v>
      </c>
      <c r="D433" s="4" t="s">
        <v>738</v>
      </c>
      <c r="E433" s="2">
        <v>1000000</v>
      </c>
      <c r="F433" s="5">
        <v>12</v>
      </c>
      <c r="G433" s="2">
        <v>310000</v>
      </c>
      <c r="H433" s="2">
        <f t="shared" si="32"/>
        <v>3720000</v>
      </c>
    </row>
    <row r="434" spans="1:8" s="8" customFormat="1" x14ac:dyDescent="0.25">
      <c r="A434" s="16">
        <v>46084</v>
      </c>
      <c r="B434" s="10" t="s">
        <v>739</v>
      </c>
      <c r="C434" s="17">
        <v>27166677578</v>
      </c>
      <c r="D434" s="4" t="s">
        <v>740</v>
      </c>
      <c r="E434" s="2">
        <v>1000000</v>
      </c>
      <c r="F434" s="5">
        <v>12</v>
      </c>
      <c r="G434" s="2">
        <v>310000</v>
      </c>
      <c r="H434" s="2">
        <f t="shared" si="32"/>
        <v>3720000</v>
      </c>
    </row>
    <row r="435" spans="1:8" s="8" customFormat="1" x14ac:dyDescent="0.25">
      <c r="A435" s="16">
        <v>46084</v>
      </c>
      <c r="B435" s="10" t="s">
        <v>741</v>
      </c>
      <c r="C435" s="17">
        <v>20179161088</v>
      </c>
      <c r="D435" s="4" t="s">
        <v>742</v>
      </c>
      <c r="E435" s="2">
        <v>1000000</v>
      </c>
      <c r="F435" s="5">
        <v>12</v>
      </c>
      <c r="G435" s="2">
        <v>310000</v>
      </c>
      <c r="H435" s="2">
        <f t="shared" si="32"/>
        <v>3720000</v>
      </c>
    </row>
    <row r="436" spans="1:8" s="8" customFormat="1" x14ac:dyDescent="0.25">
      <c r="A436" s="16">
        <v>46085</v>
      </c>
      <c r="B436" s="10" t="s">
        <v>743</v>
      </c>
      <c r="C436" s="17">
        <v>27120041482</v>
      </c>
      <c r="D436" s="4" t="s">
        <v>119</v>
      </c>
      <c r="E436" s="2">
        <v>611070</v>
      </c>
      <c r="F436" s="5">
        <v>12</v>
      </c>
      <c r="G436" s="2">
        <v>310000</v>
      </c>
      <c r="H436" s="2">
        <f t="shared" si="32"/>
        <v>3720000</v>
      </c>
    </row>
    <row r="437" spans="1:8" s="8" customFormat="1" x14ac:dyDescent="0.25">
      <c r="A437" s="16">
        <v>46085</v>
      </c>
      <c r="B437" s="10" t="s">
        <v>744</v>
      </c>
      <c r="C437" s="17">
        <v>20121902134</v>
      </c>
      <c r="D437" s="4" t="s">
        <v>745</v>
      </c>
      <c r="E437" s="2">
        <v>700000</v>
      </c>
      <c r="F437" s="5">
        <v>12</v>
      </c>
      <c r="G437" s="2">
        <v>217000</v>
      </c>
      <c r="H437" s="2">
        <f t="shared" si="32"/>
        <v>2604000</v>
      </c>
    </row>
    <row r="438" spans="1:8" s="8" customFormat="1" x14ac:dyDescent="0.25">
      <c r="A438" s="16">
        <v>46085</v>
      </c>
      <c r="B438" s="10" t="s">
        <v>746</v>
      </c>
      <c r="C438" s="17">
        <v>20136885953</v>
      </c>
      <c r="D438" s="4" t="s">
        <v>747</v>
      </c>
      <c r="E438" s="2">
        <v>500000</v>
      </c>
      <c r="F438" s="5">
        <v>12</v>
      </c>
      <c r="G438" s="2">
        <v>155000</v>
      </c>
      <c r="H438" s="2">
        <f t="shared" si="32"/>
        <v>1860000</v>
      </c>
    </row>
    <row r="439" spans="1:8" s="8" customFormat="1" x14ac:dyDescent="0.25">
      <c r="A439" s="16">
        <v>46086</v>
      </c>
      <c r="B439" s="10" t="s">
        <v>748</v>
      </c>
      <c r="C439" s="17">
        <v>20143241263</v>
      </c>
      <c r="D439" s="4" t="s">
        <v>749</v>
      </c>
      <c r="E439" s="2">
        <v>200000</v>
      </c>
      <c r="F439" s="5">
        <v>12</v>
      </c>
      <c r="G439" s="2">
        <v>62000</v>
      </c>
      <c r="H439" s="2">
        <f t="shared" si="32"/>
        <v>744000</v>
      </c>
    </row>
    <row r="440" spans="1:8" s="8" customFormat="1" x14ac:dyDescent="0.25">
      <c r="A440" s="16">
        <v>46086</v>
      </c>
      <c r="B440" s="10" t="s">
        <v>291</v>
      </c>
      <c r="C440" s="17">
        <v>27261872361</v>
      </c>
      <c r="D440" s="4" t="s">
        <v>292</v>
      </c>
      <c r="E440" s="2">
        <v>365000</v>
      </c>
      <c r="F440" s="5">
        <v>12</v>
      </c>
      <c r="G440" s="2">
        <v>155000</v>
      </c>
      <c r="H440" s="2">
        <f t="shared" si="32"/>
        <v>1860000</v>
      </c>
    </row>
    <row r="441" spans="1:8" s="8" customFormat="1" x14ac:dyDescent="0.25">
      <c r="A441" s="16">
        <v>46087</v>
      </c>
      <c r="B441" s="10" t="s">
        <v>750</v>
      </c>
      <c r="C441" s="17">
        <v>20395410661</v>
      </c>
      <c r="D441" s="4" t="s">
        <v>751</v>
      </c>
      <c r="E441" s="2">
        <v>150000</v>
      </c>
      <c r="F441" s="5">
        <v>12</v>
      </c>
      <c r="G441" s="2">
        <v>46500</v>
      </c>
      <c r="H441" s="2">
        <f t="shared" si="32"/>
        <v>558000</v>
      </c>
    </row>
    <row r="442" spans="1:8" s="8" customFormat="1" x14ac:dyDescent="0.25">
      <c r="A442" s="16">
        <v>46087</v>
      </c>
      <c r="B442" s="10" t="s">
        <v>752</v>
      </c>
      <c r="C442" s="17">
        <v>27230245113</v>
      </c>
      <c r="D442" s="4" t="s">
        <v>753</v>
      </c>
      <c r="E442" s="2">
        <v>100000</v>
      </c>
      <c r="F442" s="5">
        <v>12</v>
      </c>
      <c r="G442" s="2">
        <v>31000</v>
      </c>
      <c r="H442" s="2">
        <f t="shared" si="32"/>
        <v>372000</v>
      </c>
    </row>
    <row r="443" spans="1:8" s="8" customFormat="1" x14ac:dyDescent="0.25">
      <c r="A443" s="16">
        <v>46087</v>
      </c>
      <c r="B443" s="10" t="s">
        <v>622</v>
      </c>
      <c r="C443" s="17">
        <v>23216399099</v>
      </c>
      <c r="D443" s="4" t="s">
        <v>623</v>
      </c>
      <c r="E443" s="2">
        <v>500000</v>
      </c>
      <c r="F443" s="5">
        <v>12</v>
      </c>
      <c r="G443" s="2">
        <v>155000</v>
      </c>
      <c r="H443" s="2">
        <f t="shared" si="32"/>
        <v>1860000</v>
      </c>
    </row>
    <row r="444" spans="1:8" s="8" customFormat="1" x14ac:dyDescent="0.25">
      <c r="A444" s="16">
        <v>46087</v>
      </c>
      <c r="B444" s="10" t="s">
        <v>181</v>
      </c>
      <c r="C444" s="17">
        <v>20257460763</v>
      </c>
      <c r="D444" s="4" t="s">
        <v>182</v>
      </c>
      <c r="E444" s="2">
        <v>227000</v>
      </c>
      <c r="F444" s="5">
        <v>12</v>
      </c>
      <c r="G444" s="2">
        <v>77500</v>
      </c>
      <c r="H444" s="2">
        <f t="shared" si="32"/>
        <v>930000</v>
      </c>
    </row>
    <row r="445" spans="1:8" s="8" customFormat="1" x14ac:dyDescent="0.25">
      <c r="A445" s="16">
        <v>46087</v>
      </c>
      <c r="B445" s="10" t="s">
        <v>754</v>
      </c>
      <c r="C445" s="17">
        <v>27322863832</v>
      </c>
      <c r="D445" s="4" t="s">
        <v>755</v>
      </c>
      <c r="E445" s="2">
        <v>200000</v>
      </c>
      <c r="F445" s="5">
        <v>12</v>
      </c>
      <c r="G445" s="2">
        <v>62000</v>
      </c>
      <c r="H445" s="2">
        <f t="shared" si="32"/>
        <v>744000</v>
      </c>
    </row>
    <row r="446" spans="1:8" s="8" customFormat="1" x14ac:dyDescent="0.25">
      <c r="A446" s="16">
        <v>46090</v>
      </c>
      <c r="B446" s="10" t="s">
        <v>197</v>
      </c>
      <c r="C446" s="17">
        <v>27259289780</v>
      </c>
      <c r="D446" s="4" t="s">
        <v>198</v>
      </c>
      <c r="E446" s="2">
        <v>472000</v>
      </c>
      <c r="F446" s="5">
        <v>12</v>
      </c>
      <c r="G446" s="2">
        <v>217000</v>
      </c>
      <c r="H446" s="2">
        <f>+G446*F446</f>
        <v>2604000</v>
      </c>
    </row>
    <row r="447" spans="1:8" s="8" customFormat="1" x14ac:dyDescent="0.25">
      <c r="A447" s="16">
        <v>46090</v>
      </c>
      <c r="B447" s="10" t="s">
        <v>756</v>
      </c>
      <c r="C447" s="17">
        <v>27376418540</v>
      </c>
      <c r="D447" s="4" t="s">
        <v>757</v>
      </c>
      <c r="E447" s="2">
        <v>300000</v>
      </c>
      <c r="F447" s="5">
        <v>12</v>
      </c>
      <c r="G447" s="2">
        <v>93000</v>
      </c>
      <c r="H447" s="2">
        <f t="shared" ref="H447:H465" si="33">+G447*F447</f>
        <v>1116000</v>
      </c>
    </row>
    <row r="448" spans="1:8" s="8" customFormat="1" x14ac:dyDescent="0.25">
      <c r="A448" s="16">
        <v>46090</v>
      </c>
      <c r="B448" s="10" t="s">
        <v>758</v>
      </c>
      <c r="C448" s="17">
        <v>27135863373</v>
      </c>
      <c r="D448" s="4" t="s">
        <v>759</v>
      </c>
      <c r="E448" s="2">
        <v>900000</v>
      </c>
      <c r="F448" s="5">
        <v>12</v>
      </c>
      <c r="G448" s="2">
        <v>279000</v>
      </c>
      <c r="H448" s="2">
        <f t="shared" si="33"/>
        <v>3348000</v>
      </c>
    </row>
    <row r="449" spans="1:8" s="8" customFormat="1" x14ac:dyDescent="0.25">
      <c r="A449" s="16">
        <v>46090</v>
      </c>
      <c r="B449" s="10" t="s">
        <v>760</v>
      </c>
      <c r="C449" s="17">
        <v>20314508050</v>
      </c>
      <c r="D449" s="4" t="s">
        <v>761</v>
      </c>
      <c r="E449" s="2">
        <v>600000</v>
      </c>
      <c r="F449" s="5">
        <v>12</v>
      </c>
      <c r="G449" s="2">
        <v>186000</v>
      </c>
      <c r="H449" s="2">
        <f t="shared" si="33"/>
        <v>2232000</v>
      </c>
    </row>
    <row r="450" spans="1:8" s="8" customFormat="1" x14ac:dyDescent="0.25">
      <c r="A450" s="16">
        <v>46091</v>
      </c>
      <c r="B450" s="10" t="s">
        <v>762</v>
      </c>
      <c r="C450" s="17">
        <v>27253755879</v>
      </c>
      <c r="D450" s="4" t="s">
        <v>153</v>
      </c>
      <c r="E450" s="2">
        <v>586000</v>
      </c>
      <c r="F450" s="5">
        <v>12</v>
      </c>
      <c r="G450" s="2">
        <v>217000</v>
      </c>
      <c r="H450" s="2">
        <f t="shared" si="33"/>
        <v>2604000</v>
      </c>
    </row>
    <row r="451" spans="1:8" s="8" customFormat="1" x14ac:dyDescent="0.25">
      <c r="A451" s="16">
        <v>46091</v>
      </c>
      <c r="B451" s="10" t="s">
        <v>763</v>
      </c>
      <c r="C451" s="17">
        <v>20307195357</v>
      </c>
      <c r="D451" s="4" t="s">
        <v>764</v>
      </c>
      <c r="E451" s="2">
        <v>1000000</v>
      </c>
      <c r="F451" s="5">
        <v>12</v>
      </c>
      <c r="G451" s="2">
        <v>310000</v>
      </c>
      <c r="H451" s="2">
        <f t="shared" si="33"/>
        <v>3720000</v>
      </c>
    </row>
    <row r="452" spans="1:8" s="8" customFormat="1" x14ac:dyDescent="0.25">
      <c r="A452" s="16">
        <v>46091</v>
      </c>
      <c r="B452" s="10" t="s">
        <v>207</v>
      </c>
      <c r="C452" s="17">
        <v>20341297673</v>
      </c>
      <c r="D452" s="4" t="s">
        <v>208</v>
      </c>
      <c r="E452" s="2">
        <v>224000</v>
      </c>
      <c r="F452" s="5">
        <v>12</v>
      </c>
      <c r="G452" s="2">
        <v>93000</v>
      </c>
      <c r="H452" s="2">
        <f t="shared" si="33"/>
        <v>1116000</v>
      </c>
    </row>
    <row r="453" spans="1:8" s="8" customFormat="1" x14ac:dyDescent="0.25">
      <c r="A453" s="16">
        <v>46091</v>
      </c>
      <c r="B453" s="10" t="s">
        <v>28</v>
      </c>
      <c r="C453" s="17">
        <v>24302071248</v>
      </c>
      <c r="D453" s="4" t="s">
        <v>29</v>
      </c>
      <c r="E453" s="2">
        <v>1000000</v>
      </c>
      <c r="F453" s="5">
        <v>12</v>
      </c>
      <c r="G453" s="2">
        <v>310000</v>
      </c>
      <c r="H453" s="2">
        <f t="shared" si="33"/>
        <v>3720000</v>
      </c>
    </row>
    <row r="454" spans="1:8" s="8" customFormat="1" x14ac:dyDescent="0.25">
      <c r="A454" s="16">
        <v>46092</v>
      </c>
      <c r="B454" s="10" t="s">
        <v>765</v>
      </c>
      <c r="C454" s="17">
        <v>27269135773</v>
      </c>
      <c r="D454" s="4" t="s">
        <v>766</v>
      </c>
      <c r="E454" s="2">
        <v>1000000</v>
      </c>
      <c r="F454" s="5">
        <v>12</v>
      </c>
      <c r="G454" s="2">
        <v>310000</v>
      </c>
      <c r="H454" s="2">
        <f t="shared" si="33"/>
        <v>3720000</v>
      </c>
    </row>
    <row r="455" spans="1:8" s="8" customFormat="1" x14ac:dyDescent="0.25">
      <c r="A455" s="16">
        <v>46092</v>
      </c>
      <c r="B455" s="10" t="s">
        <v>767</v>
      </c>
      <c r="C455" s="17">
        <v>27229501130</v>
      </c>
      <c r="D455" s="4" t="s">
        <v>768</v>
      </c>
      <c r="E455" s="2">
        <v>500000</v>
      </c>
      <c r="F455" s="5">
        <v>12</v>
      </c>
      <c r="G455" s="2">
        <v>155000</v>
      </c>
      <c r="H455" s="2">
        <f t="shared" si="33"/>
        <v>1860000</v>
      </c>
    </row>
    <row r="456" spans="1:8" s="8" customFormat="1" x14ac:dyDescent="0.25">
      <c r="A456" s="16">
        <v>46092</v>
      </c>
      <c r="B456" s="10" t="s">
        <v>769</v>
      </c>
      <c r="C456" s="17">
        <v>27330499287</v>
      </c>
      <c r="D456" s="4" t="s">
        <v>770</v>
      </c>
      <c r="E456" s="2">
        <v>200000</v>
      </c>
      <c r="F456" s="5">
        <v>12</v>
      </c>
      <c r="G456" s="2">
        <v>62000</v>
      </c>
      <c r="H456" s="2">
        <f t="shared" si="33"/>
        <v>744000</v>
      </c>
    </row>
    <row r="457" spans="1:8" s="8" customFormat="1" x14ac:dyDescent="0.25">
      <c r="A457" s="16">
        <v>46092</v>
      </c>
      <c r="B457" s="10" t="s">
        <v>771</v>
      </c>
      <c r="C457" s="17">
        <v>20320834172</v>
      </c>
      <c r="D457" s="4" t="s">
        <v>772</v>
      </c>
      <c r="E457" s="2">
        <v>500000</v>
      </c>
      <c r="F457" s="5">
        <v>12</v>
      </c>
      <c r="G457" s="2">
        <v>155000</v>
      </c>
      <c r="H457" s="2">
        <f t="shared" si="33"/>
        <v>1860000</v>
      </c>
    </row>
    <row r="458" spans="1:8" s="8" customFormat="1" x14ac:dyDescent="0.25">
      <c r="A458" s="16">
        <v>46092</v>
      </c>
      <c r="B458" s="10" t="s">
        <v>773</v>
      </c>
      <c r="C458" s="17">
        <v>20169866717</v>
      </c>
      <c r="D458" s="4" t="s">
        <v>774</v>
      </c>
      <c r="E458" s="2">
        <v>800000</v>
      </c>
      <c r="F458" s="5">
        <v>12</v>
      </c>
      <c r="G458" s="2">
        <v>248000</v>
      </c>
      <c r="H458" s="2">
        <f t="shared" si="33"/>
        <v>2976000</v>
      </c>
    </row>
    <row r="459" spans="1:8" s="8" customFormat="1" x14ac:dyDescent="0.25">
      <c r="A459" s="16">
        <v>46092</v>
      </c>
      <c r="B459" s="10" t="s">
        <v>775</v>
      </c>
      <c r="C459" s="17">
        <v>27209244700</v>
      </c>
      <c r="D459" s="4" t="s">
        <v>776</v>
      </c>
      <c r="E459" s="2">
        <v>200000</v>
      </c>
      <c r="F459" s="5">
        <v>12</v>
      </c>
      <c r="G459" s="2">
        <v>62000</v>
      </c>
      <c r="H459" s="2">
        <f t="shared" si="33"/>
        <v>744000</v>
      </c>
    </row>
    <row r="460" spans="1:8" s="8" customFormat="1" x14ac:dyDescent="0.25">
      <c r="A460" s="16">
        <v>46093</v>
      </c>
      <c r="B460" s="10" t="s">
        <v>189</v>
      </c>
      <c r="C460" s="17">
        <v>27299171790</v>
      </c>
      <c r="D460" s="4" t="s">
        <v>190</v>
      </c>
      <c r="E460" s="2">
        <v>224000</v>
      </c>
      <c r="F460" s="5">
        <v>12</v>
      </c>
      <c r="G460" s="2">
        <v>93000</v>
      </c>
      <c r="H460" s="2">
        <f t="shared" si="33"/>
        <v>1116000</v>
      </c>
    </row>
    <row r="461" spans="1:8" s="8" customFormat="1" x14ac:dyDescent="0.25">
      <c r="A461" s="16">
        <v>46094</v>
      </c>
      <c r="B461" s="10" t="s">
        <v>777</v>
      </c>
      <c r="C461" s="17">
        <v>20142962226</v>
      </c>
      <c r="D461" s="4" t="s">
        <v>778</v>
      </c>
      <c r="E461" s="2">
        <v>300000</v>
      </c>
      <c r="F461" s="5">
        <v>12</v>
      </c>
      <c r="G461" s="2">
        <v>93000</v>
      </c>
      <c r="H461" s="2">
        <f t="shared" si="33"/>
        <v>1116000</v>
      </c>
    </row>
    <row r="462" spans="1:8" s="8" customFormat="1" x14ac:dyDescent="0.25">
      <c r="A462" s="16">
        <v>46094</v>
      </c>
      <c r="B462" s="10" t="s">
        <v>779</v>
      </c>
      <c r="C462" s="17">
        <v>27275685718</v>
      </c>
      <c r="D462" s="4" t="s">
        <v>780</v>
      </c>
      <c r="E462" s="2">
        <v>500000</v>
      </c>
      <c r="F462" s="5">
        <v>12</v>
      </c>
      <c r="G462" s="2">
        <v>155000</v>
      </c>
      <c r="H462" s="2">
        <f t="shared" si="33"/>
        <v>1860000</v>
      </c>
    </row>
    <row r="463" spans="1:8" s="8" customFormat="1" x14ac:dyDescent="0.25">
      <c r="A463" s="16">
        <v>46094</v>
      </c>
      <c r="B463" s="10" t="s">
        <v>781</v>
      </c>
      <c r="C463" s="17">
        <v>20289286730</v>
      </c>
      <c r="D463" s="4" t="s">
        <v>782</v>
      </c>
      <c r="E463" s="2">
        <v>500000</v>
      </c>
      <c r="F463" s="5">
        <v>12</v>
      </c>
      <c r="G463" s="2">
        <v>155000</v>
      </c>
      <c r="H463" s="2">
        <f t="shared" si="33"/>
        <v>1860000</v>
      </c>
    </row>
    <row r="464" spans="1:8" s="8" customFormat="1" x14ac:dyDescent="0.25">
      <c r="A464" s="16">
        <v>46094</v>
      </c>
      <c r="B464" s="10" t="s">
        <v>783</v>
      </c>
      <c r="C464" s="17">
        <v>20162763653</v>
      </c>
      <c r="D464" s="4" t="s">
        <v>784</v>
      </c>
      <c r="E464" s="2">
        <v>200000</v>
      </c>
      <c r="F464" s="5">
        <v>12</v>
      </c>
      <c r="G464" s="2">
        <v>62000</v>
      </c>
      <c r="H464" s="2">
        <f t="shared" si="33"/>
        <v>744000</v>
      </c>
    </row>
    <row r="465" spans="1:8" s="8" customFormat="1" x14ac:dyDescent="0.25">
      <c r="A465" s="16">
        <v>46098</v>
      </c>
      <c r="B465" s="10" t="s">
        <v>154</v>
      </c>
      <c r="C465" s="17">
        <v>27305046340</v>
      </c>
      <c r="D465" s="4" t="s">
        <v>155</v>
      </c>
      <c r="E465" s="2">
        <v>586000</v>
      </c>
      <c r="F465" s="5">
        <v>12</v>
      </c>
      <c r="G465" s="2">
        <v>217000</v>
      </c>
      <c r="H465" s="2">
        <f t="shared" si="33"/>
        <v>2604000</v>
      </c>
    </row>
    <row r="466" spans="1:8" s="8" customFormat="1" x14ac:dyDescent="0.25">
      <c r="A466" s="16">
        <v>46100</v>
      </c>
      <c r="B466" s="10" t="s">
        <v>431</v>
      </c>
      <c r="C466" s="17">
        <v>23265800114</v>
      </c>
      <c r="D466" s="4" t="s">
        <v>432</v>
      </c>
      <c r="E466" s="2">
        <v>500000</v>
      </c>
      <c r="F466" s="5">
        <v>12</v>
      </c>
      <c r="G466" s="2">
        <v>155000</v>
      </c>
      <c r="H466" s="2">
        <f>+G466*F466</f>
        <v>1860000</v>
      </c>
    </row>
    <row r="467" spans="1:8" s="8" customFormat="1" x14ac:dyDescent="0.25">
      <c r="A467" s="16">
        <v>46100</v>
      </c>
      <c r="B467" s="10" t="s">
        <v>785</v>
      </c>
      <c r="C467" s="17">
        <v>20270530495</v>
      </c>
      <c r="D467" s="4" t="s">
        <v>786</v>
      </c>
      <c r="E467" s="2">
        <v>1000000</v>
      </c>
      <c r="F467" s="5">
        <v>12</v>
      </c>
      <c r="G467" s="2">
        <v>310000</v>
      </c>
      <c r="H467" s="2">
        <f t="shared" ref="H467:H468" si="34">+G467*F467</f>
        <v>3720000</v>
      </c>
    </row>
    <row r="468" spans="1:8" s="8" customFormat="1" x14ac:dyDescent="0.25">
      <c r="A468" s="16">
        <v>46100</v>
      </c>
      <c r="B468" s="10" t="s">
        <v>787</v>
      </c>
      <c r="C468" s="17">
        <v>27128960320</v>
      </c>
      <c r="D468" s="4" t="s">
        <v>788</v>
      </c>
      <c r="E468" s="2">
        <v>300000</v>
      </c>
      <c r="F468" s="5">
        <v>12</v>
      </c>
      <c r="G468" s="2">
        <v>93000</v>
      </c>
      <c r="H468" s="2">
        <f t="shared" si="34"/>
        <v>1116000</v>
      </c>
    </row>
    <row r="469" spans="1:8" s="8" customFormat="1" x14ac:dyDescent="0.25">
      <c r="A469" s="16">
        <v>46101</v>
      </c>
      <c r="B469" s="10" t="s">
        <v>70</v>
      </c>
      <c r="C469" s="17">
        <v>23233096164</v>
      </c>
      <c r="D469" s="4" t="s">
        <v>71</v>
      </c>
      <c r="E469" s="2">
        <v>693000</v>
      </c>
      <c r="F469" s="5">
        <v>12</v>
      </c>
      <c r="G469" s="2">
        <v>310000</v>
      </c>
      <c r="H469" s="2">
        <v>3720000</v>
      </c>
    </row>
    <row r="470" spans="1:8" s="8" customFormat="1" x14ac:dyDescent="0.25">
      <c r="A470" s="16">
        <v>46101</v>
      </c>
      <c r="B470" s="10" t="s">
        <v>789</v>
      </c>
      <c r="C470" s="17">
        <v>27119820907</v>
      </c>
      <c r="D470" s="4" t="s">
        <v>795</v>
      </c>
      <c r="E470" s="2">
        <v>100000</v>
      </c>
      <c r="F470" s="5">
        <v>12</v>
      </c>
      <c r="G470" s="2">
        <v>31000</v>
      </c>
      <c r="H470" s="2">
        <v>372000</v>
      </c>
    </row>
    <row r="471" spans="1:8" s="8" customFormat="1" x14ac:dyDescent="0.25">
      <c r="A471" s="16">
        <v>46101</v>
      </c>
      <c r="B471" s="10" t="s">
        <v>790</v>
      </c>
      <c r="C471" s="17">
        <v>27405989048</v>
      </c>
      <c r="D471" s="4" t="s">
        <v>796</v>
      </c>
      <c r="E471" s="2">
        <v>500000</v>
      </c>
      <c r="F471" s="5">
        <v>12</v>
      </c>
      <c r="G471" s="2">
        <v>155000</v>
      </c>
      <c r="H471" s="2">
        <v>1860000</v>
      </c>
    </row>
    <row r="472" spans="1:8" s="8" customFormat="1" x14ac:dyDescent="0.25">
      <c r="A472" s="16">
        <v>46101</v>
      </c>
      <c r="B472" s="10" t="s">
        <v>791</v>
      </c>
      <c r="C472" s="17">
        <v>27227519121</v>
      </c>
      <c r="D472" s="4" t="s">
        <v>797</v>
      </c>
      <c r="E472" s="2">
        <v>1000000</v>
      </c>
      <c r="F472" s="5">
        <v>12</v>
      </c>
      <c r="G472" s="2">
        <v>310000</v>
      </c>
      <c r="H472" s="2">
        <v>3720000</v>
      </c>
    </row>
    <row r="473" spans="1:8" s="8" customFormat="1" x14ac:dyDescent="0.25">
      <c r="A473" s="16">
        <v>46106</v>
      </c>
      <c r="B473" s="10" t="s">
        <v>628</v>
      </c>
      <c r="C473" s="17">
        <v>27227407447</v>
      </c>
      <c r="D473" s="4" t="s">
        <v>25</v>
      </c>
      <c r="E473" s="2">
        <v>500000</v>
      </c>
      <c r="F473" s="5">
        <v>12</v>
      </c>
      <c r="G473" s="2">
        <v>155000</v>
      </c>
      <c r="H473" s="2">
        <v>1860000</v>
      </c>
    </row>
    <row r="474" spans="1:8" s="8" customFormat="1" x14ac:dyDescent="0.25">
      <c r="A474" s="16">
        <v>46106</v>
      </c>
      <c r="B474" s="10" t="s">
        <v>792</v>
      </c>
      <c r="C474" s="17">
        <v>27174282825</v>
      </c>
      <c r="D474" s="4" t="s">
        <v>798</v>
      </c>
      <c r="E474" s="2">
        <v>300000</v>
      </c>
      <c r="F474" s="5">
        <v>12</v>
      </c>
      <c r="G474" s="2">
        <v>93000</v>
      </c>
      <c r="H474" s="2">
        <v>1116000</v>
      </c>
    </row>
    <row r="475" spans="1:8" s="8" customFormat="1" x14ac:dyDescent="0.25">
      <c r="A475" s="16">
        <v>46106</v>
      </c>
      <c r="B475" s="10" t="s">
        <v>561</v>
      </c>
      <c r="C475" s="17">
        <v>27219942376</v>
      </c>
      <c r="D475" s="4" t="s">
        <v>562</v>
      </c>
      <c r="E475" s="2">
        <v>300000</v>
      </c>
      <c r="F475" s="5">
        <v>12</v>
      </c>
      <c r="G475" s="2">
        <v>93000</v>
      </c>
      <c r="H475" s="2">
        <v>1116000</v>
      </c>
    </row>
    <row r="476" spans="1:8" s="8" customFormat="1" x14ac:dyDescent="0.25">
      <c r="A476" s="16">
        <v>46106</v>
      </c>
      <c r="B476" s="10" t="s">
        <v>793</v>
      </c>
      <c r="C476" s="17">
        <v>27162762767</v>
      </c>
      <c r="D476" s="4" t="s">
        <v>799</v>
      </c>
      <c r="E476" s="2">
        <v>100000</v>
      </c>
      <c r="F476" s="5">
        <v>12</v>
      </c>
      <c r="G476" s="2">
        <v>31000</v>
      </c>
      <c r="H476" s="2">
        <v>372000</v>
      </c>
    </row>
    <row r="477" spans="1:8" s="8" customFormat="1" x14ac:dyDescent="0.25">
      <c r="A477" s="16">
        <v>46106</v>
      </c>
      <c r="B477" s="10" t="s">
        <v>794</v>
      </c>
      <c r="C477" s="17">
        <v>20326249751</v>
      </c>
      <c r="D477" s="4" t="s">
        <v>800</v>
      </c>
      <c r="E477" s="2">
        <v>100000</v>
      </c>
      <c r="F477" s="5">
        <v>12</v>
      </c>
      <c r="G477" s="2">
        <v>31000</v>
      </c>
      <c r="H477" s="2">
        <v>372000</v>
      </c>
    </row>
    <row r="478" spans="1:8" s="8" customFormat="1" x14ac:dyDescent="0.25">
      <c r="A478" s="16">
        <v>46108</v>
      </c>
      <c r="B478" s="10" t="s">
        <v>801</v>
      </c>
      <c r="C478" s="17">
        <v>20292599995</v>
      </c>
      <c r="D478" s="4" t="s">
        <v>802</v>
      </c>
      <c r="E478" s="2">
        <v>500000</v>
      </c>
      <c r="F478" s="5">
        <v>12</v>
      </c>
      <c r="G478" s="2">
        <v>155000</v>
      </c>
      <c r="H478" s="2">
        <v>1860000</v>
      </c>
    </row>
    <row r="479" spans="1:8" s="8" customFormat="1" x14ac:dyDescent="0.25">
      <c r="A479" s="16">
        <v>46108</v>
      </c>
      <c r="B479" s="10" t="s">
        <v>803</v>
      </c>
      <c r="C479" s="17">
        <v>23131418639</v>
      </c>
      <c r="D479" s="4" t="s">
        <v>804</v>
      </c>
      <c r="E479" s="2">
        <v>500000</v>
      </c>
      <c r="F479" s="5">
        <v>12</v>
      </c>
      <c r="G479" s="2">
        <v>155000</v>
      </c>
      <c r="H479" s="2">
        <v>1860000</v>
      </c>
    </row>
    <row r="480" spans="1:8" s="8" customFormat="1" x14ac:dyDescent="0.25">
      <c r="A480" s="16">
        <v>46112</v>
      </c>
      <c r="B480" s="10" t="s">
        <v>805</v>
      </c>
      <c r="C480" s="17">
        <v>20140458393</v>
      </c>
      <c r="D480" s="4" t="s">
        <v>806</v>
      </c>
      <c r="E480" s="2">
        <v>300000</v>
      </c>
      <c r="F480" s="5">
        <v>12</v>
      </c>
      <c r="G480" s="2">
        <v>93000</v>
      </c>
      <c r="H480" s="2">
        <f>+G480*F480</f>
        <v>1116000</v>
      </c>
    </row>
    <row r="481" spans="1:8" s="8" customFormat="1" x14ac:dyDescent="0.25">
      <c r="A481" s="16">
        <v>46112</v>
      </c>
      <c r="B481" s="10" t="s">
        <v>807</v>
      </c>
      <c r="C481" s="17">
        <v>27238542168</v>
      </c>
      <c r="D481" s="4" t="s">
        <v>808</v>
      </c>
      <c r="E481" s="2">
        <v>500000</v>
      </c>
      <c r="F481" s="5">
        <v>12</v>
      </c>
      <c r="G481" s="2">
        <v>155000</v>
      </c>
      <c r="H481" s="2">
        <f>+G481*F481</f>
        <v>1860000</v>
      </c>
    </row>
    <row r="482" spans="1:8" s="8" customFormat="1" x14ac:dyDescent="0.25">
      <c r="A482" s="16">
        <v>46113</v>
      </c>
      <c r="B482" s="10" t="s">
        <v>809</v>
      </c>
      <c r="C482" s="17">
        <v>27160599567</v>
      </c>
      <c r="D482" s="4" t="s">
        <v>810</v>
      </c>
      <c r="E482" s="2">
        <v>500000</v>
      </c>
      <c r="F482" s="5">
        <v>12</v>
      </c>
      <c r="G482" s="2">
        <v>155000</v>
      </c>
      <c r="H482" s="2">
        <f>+G482*F482</f>
        <v>1860000</v>
      </c>
    </row>
    <row r="483" spans="1:8" s="8" customFormat="1" x14ac:dyDescent="0.25">
      <c r="A483" s="16">
        <v>46113</v>
      </c>
      <c r="B483" s="10" t="s">
        <v>811</v>
      </c>
      <c r="C483" s="17">
        <v>27172403595</v>
      </c>
      <c r="D483" s="4" t="s">
        <v>812</v>
      </c>
      <c r="E483" s="2">
        <v>100000</v>
      </c>
      <c r="F483" s="5">
        <v>12</v>
      </c>
      <c r="G483" s="2">
        <v>31000</v>
      </c>
      <c r="H483" s="2">
        <f t="shared" ref="H483:H484" si="35">+G483*F483</f>
        <v>372000</v>
      </c>
    </row>
    <row r="484" spans="1:8" s="8" customFormat="1" x14ac:dyDescent="0.25">
      <c r="A484" s="16">
        <v>46113</v>
      </c>
      <c r="B484" s="10" t="s">
        <v>813</v>
      </c>
      <c r="C484" s="17">
        <v>23347778559</v>
      </c>
      <c r="D484" s="4" t="s">
        <v>814</v>
      </c>
      <c r="E484" s="2">
        <v>100000</v>
      </c>
      <c r="F484" s="5">
        <v>12</v>
      </c>
      <c r="G484" s="2">
        <v>31000</v>
      </c>
      <c r="H484" s="2">
        <f t="shared" si="35"/>
        <v>372000</v>
      </c>
    </row>
    <row r="485" spans="1:8" s="8" customFormat="1" x14ac:dyDescent="0.25">
      <c r="A485" s="16">
        <v>46118</v>
      </c>
      <c r="B485" s="10" t="s">
        <v>18</v>
      </c>
      <c r="C485" s="17">
        <v>27353912815</v>
      </c>
      <c r="D485" s="4" t="s">
        <v>19</v>
      </c>
      <c r="E485" s="2">
        <v>100000</v>
      </c>
      <c r="F485" s="5">
        <v>12</v>
      </c>
      <c r="G485" s="2">
        <v>31000</v>
      </c>
      <c r="H485" s="2">
        <f>+G485*F485</f>
        <v>372000</v>
      </c>
    </row>
    <row r="486" spans="1:8" s="8" customFormat="1" x14ac:dyDescent="0.25">
      <c r="A486" s="16">
        <v>46119</v>
      </c>
      <c r="B486" s="10" t="s">
        <v>815</v>
      </c>
      <c r="C486" s="17">
        <v>20341621365</v>
      </c>
      <c r="D486" s="4" t="s">
        <v>816</v>
      </c>
      <c r="E486" s="2">
        <v>500000</v>
      </c>
      <c r="F486" s="5">
        <v>12</v>
      </c>
      <c r="G486" s="2">
        <v>155000</v>
      </c>
      <c r="H486" s="2">
        <f t="shared" ref="H486:H498" si="36">+G486*F486</f>
        <v>1860000</v>
      </c>
    </row>
    <row r="487" spans="1:8" s="8" customFormat="1" x14ac:dyDescent="0.25">
      <c r="A487" s="16">
        <v>46119</v>
      </c>
      <c r="B487" s="10" t="s">
        <v>817</v>
      </c>
      <c r="C487" s="17">
        <v>27390142442</v>
      </c>
      <c r="D487" s="4" t="s">
        <v>818</v>
      </c>
      <c r="E487" s="2">
        <v>700000</v>
      </c>
      <c r="F487" s="5">
        <v>12</v>
      </c>
      <c r="G487" s="2">
        <v>217000</v>
      </c>
      <c r="H487" s="2">
        <f t="shared" si="36"/>
        <v>2604000</v>
      </c>
    </row>
    <row r="488" spans="1:8" s="8" customFormat="1" x14ac:dyDescent="0.25">
      <c r="A488" s="16">
        <v>46120</v>
      </c>
      <c r="B488" s="10" t="s">
        <v>819</v>
      </c>
      <c r="C488" s="17">
        <v>27326160771</v>
      </c>
      <c r="D488" s="4" t="s">
        <v>820</v>
      </c>
      <c r="E488" s="2">
        <v>500000</v>
      </c>
      <c r="F488" s="5">
        <v>12</v>
      </c>
      <c r="G488" s="2">
        <v>155000</v>
      </c>
      <c r="H488" s="2">
        <f t="shared" si="36"/>
        <v>1860000</v>
      </c>
    </row>
    <row r="489" spans="1:8" s="8" customFormat="1" x14ac:dyDescent="0.25">
      <c r="A489" s="16">
        <v>46121</v>
      </c>
      <c r="B489" s="10" t="s">
        <v>821</v>
      </c>
      <c r="C489" s="17">
        <v>27275253524</v>
      </c>
      <c r="D489" s="4" t="s">
        <v>822</v>
      </c>
      <c r="E489" s="2">
        <v>500000</v>
      </c>
      <c r="F489" s="5">
        <v>12</v>
      </c>
      <c r="G489" s="2">
        <v>155000</v>
      </c>
      <c r="H489" s="2">
        <f t="shared" si="36"/>
        <v>1860000</v>
      </c>
    </row>
    <row r="490" spans="1:8" s="8" customFormat="1" x14ac:dyDescent="0.25">
      <c r="A490" s="16">
        <v>46121</v>
      </c>
      <c r="B490" s="10" t="s">
        <v>823</v>
      </c>
      <c r="C490" s="17">
        <v>27382247251</v>
      </c>
      <c r="D490" s="4" t="s">
        <v>824</v>
      </c>
      <c r="E490" s="2">
        <v>300000</v>
      </c>
      <c r="F490" s="5">
        <v>12</v>
      </c>
      <c r="G490" s="2">
        <v>93000</v>
      </c>
      <c r="H490" s="2">
        <f t="shared" si="36"/>
        <v>1116000</v>
      </c>
    </row>
    <row r="491" spans="1:8" s="8" customFormat="1" x14ac:dyDescent="0.25">
      <c r="A491" s="16">
        <v>46121</v>
      </c>
      <c r="B491" s="10" t="s">
        <v>825</v>
      </c>
      <c r="C491" s="17">
        <v>20251173347</v>
      </c>
      <c r="D491" s="4" t="s">
        <v>826</v>
      </c>
      <c r="E491" s="2">
        <v>100000</v>
      </c>
      <c r="F491" s="5">
        <v>12</v>
      </c>
      <c r="G491" s="2">
        <v>31000</v>
      </c>
      <c r="H491" s="2">
        <f t="shared" si="36"/>
        <v>372000</v>
      </c>
    </row>
    <row r="492" spans="1:8" s="8" customFormat="1" x14ac:dyDescent="0.25">
      <c r="A492" s="16">
        <v>46121</v>
      </c>
      <c r="B492" s="10" t="s">
        <v>827</v>
      </c>
      <c r="C492" s="17">
        <v>27200720607</v>
      </c>
      <c r="D492" s="4" t="s">
        <v>276</v>
      </c>
      <c r="E492" s="2">
        <v>500000</v>
      </c>
      <c r="F492" s="5">
        <v>12</v>
      </c>
      <c r="G492" s="2">
        <v>155000</v>
      </c>
      <c r="H492" s="2">
        <f t="shared" si="36"/>
        <v>1860000</v>
      </c>
    </row>
    <row r="493" spans="1:8" s="8" customFormat="1" x14ac:dyDescent="0.25">
      <c r="A493" s="16">
        <v>46121</v>
      </c>
      <c r="B493" s="10" t="s">
        <v>828</v>
      </c>
      <c r="C493" s="17">
        <v>20377438370</v>
      </c>
      <c r="D493" s="4" t="s">
        <v>829</v>
      </c>
      <c r="E493" s="2">
        <v>300000</v>
      </c>
      <c r="F493" s="5">
        <v>12</v>
      </c>
      <c r="G493" s="2">
        <v>93000</v>
      </c>
      <c r="H493" s="2">
        <f t="shared" si="36"/>
        <v>1116000</v>
      </c>
    </row>
    <row r="494" spans="1:8" s="8" customFormat="1" x14ac:dyDescent="0.25">
      <c r="A494" s="16">
        <v>46121</v>
      </c>
      <c r="B494" s="10" t="s">
        <v>271</v>
      </c>
      <c r="C494" s="17">
        <v>20301578114</v>
      </c>
      <c r="D494" s="4" t="s">
        <v>272</v>
      </c>
      <c r="E494" s="2">
        <v>500000</v>
      </c>
      <c r="F494" s="5">
        <v>12</v>
      </c>
      <c r="G494" s="2">
        <v>155000</v>
      </c>
      <c r="H494" s="2">
        <f t="shared" si="36"/>
        <v>1860000</v>
      </c>
    </row>
    <row r="495" spans="1:8" s="8" customFormat="1" x14ac:dyDescent="0.25">
      <c r="A495" s="16">
        <v>46122</v>
      </c>
      <c r="B495" s="10" t="s">
        <v>830</v>
      </c>
      <c r="C495" s="17">
        <v>20279171374</v>
      </c>
      <c r="D495" s="4" t="s">
        <v>831</v>
      </c>
      <c r="E495" s="2">
        <v>300000</v>
      </c>
      <c r="F495" s="5">
        <v>12</v>
      </c>
      <c r="G495" s="2">
        <v>93000</v>
      </c>
      <c r="H495" s="2">
        <f t="shared" si="36"/>
        <v>1116000</v>
      </c>
    </row>
    <row r="496" spans="1:8" s="8" customFormat="1" x14ac:dyDescent="0.25">
      <c r="A496" s="16">
        <v>46122</v>
      </c>
      <c r="B496" s="10" t="s">
        <v>832</v>
      </c>
      <c r="C496" s="17">
        <v>27352862970</v>
      </c>
      <c r="D496" s="4" t="s">
        <v>833</v>
      </c>
      <c r="E496" s="2">
        <v>500000</v>
      </c>
      <c r="F496" s="5">
        <v>12</v>
      </c>
      <c r="G496" s="2">
        <v>155000</v>
      </c>
      <c r="H496" s="2">
        <f t="shared" si="36"/>
        <v>1860000</v>
      </c>
    </row>
    <row r="497" spans="1:8" s="8" customFormat="1" x14ac:dyDescent="0.25">
      <c r="A497" s="16">
        <v>46122</v>
      </c>
      <c r="B497" s="10" t="s">
        <v>496</v>
      </c>
      <c r="C497" s="17">
        <v>20326816613</v>
      </c>
      <c r="D497" s="4" t="s">
        <v>497</v>
      </c>
      <c r="E497" s="2">
        <v>300000</v>
      </c>
      <c r="F497" s="5">
        <v>12</v>
      </c>
      <c r="G497" s="2">
        <v>93000</v>
      </c>
      <c r="H497" s="2">
        <f t="shared" si="36"/>
        <v>1116000</v>
      </c>
    </row>
    <row r="498" spans="1:8" s="8" customFormat="1" x14ac:dyDescent="0.25">
      <c r="A498" s="16">
        <v>46122</v>
      </c>
      <c r="B498" s="10" t="s">
        <v>602</v>
      </c>
      <c r="C498" s="17">
        <v>27231027675</v>
      </c>
      <c r="D498" s="4" t="s">
        <v>603</v>
      </c>
      <c r="E498" s="2">
        <v>500000</v>
      </c>
      <c r="F498" s="5">
        <v>12</v>
      </c>
      <c r="G498" s="2">
        <v>155000</v>
      </c>
      <c r="H498" s="2">
        <f t="shared" si="36"/>
        <v>1860000</v>
      </c>
    </row>
    <row r="499" spans="1:8" s="8" customFormat="1" x14ac:dyDescent="0.25">
      <c r="A499" s="16">
        <v>46125</v>
      </c>
      <c r="B499" s="10" t="s">
        <v>834</v>
      </c>
      <c r="C499" s="17">
        <v>20353887271</v>
      </c>
      <c r="D499" s="4" t="s">
        <v>835</v>
      </c>
      <c r="E499" s="2">
        <v>100000</v>
      </c>
      <c r="F499" s="5">
        <v>12</v>
      </c>
      <c r="G499" s="2">
        <v>31000</v>
      </c>
      <c r="H499" s="2">
        <f>+G499*F499</f>
        <v>372000</v>
      </c>
    </row>
    <row r="500" spans="1:8" s="8" customFormat="1" x14ac:dyDescent="0.25">
      <c r="A500" s="16">
        <v>46125</v>
      </c>
      <c r="B500" s="10" t="s">
        <v>836</v>
      </c>
      <c r="C500" s="17">
        <v>20286071032</v>
      </c>
      <c r="D500" s="4" t="s">
        <v>837</v>
      </c>
      <c r="E500" s="2">
        <v>300000</v>
      </c>
      <c r="F500" s="5">
        <v>12</v>
      </c>
      <c r="G500" s="2">
        <v>93000</v>
      </c>
      <c r="H500" s="2">
        <f t="shared" ref="H500:H501" si="37">+G500*F500</f>
        <v>1116000</v>
      </c>
    </row>
    <row r="501" spans="1:8" s="8" customFormat="1" x14ac:dyDescent="0.25">
      <c r="A501" s="16">
        <v>46125</v>
      </c>
      <c r="B501" s="10" t="s">
        <v>838</v>
      </c>
      <c r="C501" s="17">
        <v>20227514427</v>
      </c>
      <c r="D501" s="4" t="s">
        <v>839</v>
      </c>
      <c r="E501" s="2">
        <v>300000</v>
      </c>
      <c r="F501" s="5">
        <v>12</v>
      </c>
      <c r="G501" s="2">
        <v>93000</v>
      </c>
      <c r="H501" s="2">
        <f t="shared" si="37"/>
        <v>1116000</v>
      </c>
    </row>
    <row r="502" spans="1:8" s="8" customFormat="1" x14ac:dyDescent="0.25">
      <c r="A502" s="16">
        <v>46126</v>
      </c>
      <c r="B502" s="10" t="s">
        <v>840</v>
      </c>
      <c r="C502" s="17">
        <v>27429923757</v>
      </c>
      <c r="D502" s="4" t="s">
        <v>841</v>
      </c>
      <c r="E502" s="2">
        <v>200000</v>
      </c>
      <c r="F502" s="5">
        <v>12</v>
      </c>
      <c r="G502" s="2">
        <v>62000</v>
      </c>
      <c r="H502" s="2">
        <f>+G502*F502</f>
        <v>744000</v>
      </c>
    </row>
    <row r="503" spans="1:8" s="8" customFormat="1" x14ac:dyDescent="0.25">
      <c r="A503" s="16">
        <v>46127</v>
      </c>
      <c r="B503" s="10" t="s">
        <v>842</v>
      </c>
      <c r="C503" s="17">
        <v>23264336309</v>
      </c>
      <c r="D503" s="4" t="s">
        <v>843</v>
      </c>
      <c r="E503" s="2">
        <v>200000</v>
      </c>
      <c r="F503" s="5">
        <v>12</v>
      </c>
      <c r="G503" s="2">
        <v>62000</v>
      </c>
      <c r="H503" s="2">
        <f t="shared" ref="H503:H506" si="38">+G503*F503</f>
        <v>744000</v>
      </c>
    </row>
    <row r="504" spans="1:8" s="8" customFormat="1" x14ac:dyDescent="0.25">
      <c r="A504" s="16">
        <v>46127</v>
      </c>
      <c r="B504" s="10" t="s">
        <v>440</v>
      </c>
      <c r="C504" s="17">
        <v>23226315624</v>
      </c>
      <c r="D504" s="4" t="s">
        <v>441</v>
      </c>
      <c r="E504" s="2">
        <v>500000</v>
      </c>
      <c r="F504" s="5">
        <v>12</v>
      </c>
      <c r="G504" s="2">
        <v>155000</v>
      </c>
      <c r="H504" s="2">
        <f t="shared" si="38"/>
        <v>1860000</v>
      </c>
    </row>
    <row r="505" spans="1:8" s="8" customFormat="1" x14ac:dyDescent="0.25">
      <c r="A505" s="16">
        <v>46127</v>
      </c>
      <c r="B505" s="10" t="s">
        <v>691</v>
      </c>
      <c r="C505" s="17">
        <v>27326881576</v>
      </c>
      <c r="D505" s="4" t="s">
        <v>692</v>
      </c>
      <c r="E505" s="2">
        <v>300000</v>
      </c>
      <c r="F505" s="5">
        <v>12</v>
      </c>
      <c r="G505" s="2">
        <v>93000</v>
      </c>
      <c r="H505" s="2">
        <f t="shared" si="38"/>
        <v>1116000</v>
      </c>
    </row>
    <row r="506" spans="1:8" s="8" customFormat="1" x14ac:dyDescent="0.25">
      <c r="A506" s="16" t="s">
        <v>846</v>
      </c>
      <c r="B506" s="10" t="s">
        <v>844</v>
      </c>
      <c r="C506" s="17">
        <v>23273410384</v>
      </c>
      <c r="D506" s="4" t="s">
        <v>845</v>
      </c>
      <c r="E506" s="2">
        <v>100000</v>
      </c>
      <c r="F506" s="5">
        <v>12</v>
      </c>
      <c r="G506" s="2">
        <v>31000</v>
      </c>
      <c r="H506" s="2">
        <f t="shared" si="38"/>
        <v>372000</v>
      </c>
    </row>
    <row r="507" spans="1:8" s="8" customFormat="1" x14ac:dyDescent="0.25">
      <c r="A507" s="16">
        <v>46128</v>
      </c>
      <c r="B507" s="10" t="s">
        <v>205</v>
      </c>
      <c r="C507" s="17">
        <v>27247212340</v>
      </c>
      <c r="D507" s="4" t="s">
        <v>206</v>
      </c>
      <c r="E507" s="2">
        <v>500000</v>
      </c>
      <c r="F507" s="5">
        <v>12</v>
      </c>
      <c r="G507" s="2">
        <v>155000</v>
      </c>
      <c r="H507" s="2">
        <f>+G507*F507</f>
        <v>1860000</v>
      </c>
    </row>
    <row r="508" spans="1:8" s="8" customFormat="1" x14ac:dyDescent="0.25">
      <c r="A508" s="16">
        <v>46333</v>
      </c>
      <c r="B508" s="10" t="s">
        <v>847</v>
      </c>
      <c r="C508" s="17">
        <v>20200721927</v>
      </c>
      <c r="D508" s="4" t="s">
        <v>848</v>
      </c>
      <c r="E508" s="13">
        <v>700000</v>
      </c>
      <c r="F508" s="5">
        <v>12</v>
      </c>
      <c r="G508" s="13">
        <v>266000</v>
      </c>
      <c r="H508" s="2">
        <f>+G508*F508</f>
        <v>3192000</v>
      </c>
    </row>
    <row r="509" spans="1:8" s="8" customFormat="1" x14ac:dyDescent="0.25">
      <c r="A509" s="16">
        <v>46129</v>
      </c>
      <c r="B509" s="8" t="s">
        <v>417</v>
      </c>
      <c r="C509" s="8">
        <v>20225156221</v>
      </c>
      <c r="D509" s="19" t="s">
        <v>418</v>
      </c>
      <c r="E509" s="32">
        <v>200000</v>
      </c>
      <c r="F509" s="36">
        <v>12</v>
      </c>
      <c r="G509" s="37">
        <v>62000</v>
      </c>
      <c r="H509" s="2">
        <f t="shared" ref="H509:H517" si="39">+G509*F509</f>
        <v>744000</v>
      </c>
    </row>
    <row r="510" spans="1:8" s="8" customFormat="1" x14ac:dyDescent="0.25">
      <c r="A510" s="16">
        <v>46129</v>
      </c>
      <c r="B510" s="8" t="s">
        <v>849</v>
      </c>
      <c r="C510" s="8">
        <v>20306763769</v>
      </c>
      <c r="D510" s="19" t="s">
        <v>850</v>
      </c>
      <c r="E510" s="32">
        <v>100000</v>
      </c>
      <c r="F510" s="36">
        <v>12</v>
      </c>
      <c r="G510" s="37">
        <v>31000</v>
      </c>
      <c r="H510" s="2">
        <f t="shared" si="39"/>
        <v>372000</v>
      </c>
    </row>
    <row r="511" spans="1:8" s="8" customFormat="1" x14ac:dyDescent="0.25">
      <c r="A511" s="16">
        <v>46129</v>
      </c>
      <c r="B511" s="8" t="s">
        <v>137</v>
      </c>
      <c r="C511" s="8">
        <v>27205888654</v>
      </c>
      <c r="D511" s="19" t="s">
        <v>136</v>
      </c>
      <c r="E511" s="32">
        <v>1000000</v>
      </c>
      <c r="F511" s="36">
        <v>12</v>
      </c>
      <c r="G511" s="37">
        <v>310000</v>
      </c>
      <c r="H511" s="2">
        <f t="shared" si="39"/>
        <v>3720000</v>
      </c>
    </row>
    <row r="512" spans="1:8" s="8" customFormat="1" x14ac:dyDescent="0.25">
      <c r="A512" s="16">
        <v>46129</v>
      </c>
      <c r="B512" s="8" t="s">
        <v>851</v>
      </c>
      <c r="C512" s="8">
        <v>27235617752</v>
      </c>
      <c r="D512" s="19" t="s">
        <v>852</v>
      </c>
      <c r="E512" s="32">
        <v>1000000</v>
      </c>
      <c r="F512" s="36">
        <v>12</v>
      </c>
      <c r="G512" s="37">
        <v>310000</v>
      </c>
      <c r="H512" s="2">
        <f t="shared" si="39"/>
        <v>3720000</v>
      </c>
    </row>
    <row r="513" spans="1:8" s="8" customFormat="1" x14ac:dyDescent="0.25">
      <c r="A513" s="16">
        <v>46129</v>
      </c>
      <c r="B513" s="8" t="s">
        <v>853</v>
      </c>
      <c r="C513" s="8">
        <v>27363915022</v>
      </c>
      <c r="D513" s="19" t="s">
        <v>854</v>
      </c>
      <c r="E513" s="32">
        <v>300000</v>
      </c>
      <c r="F513" s="36">
        <v>12</v>
      </c>
      <c r="G513" s="37">
        <v>93000</v>
      </c>
      <c r="H513" s="2">
        <f t="shared" si="39"/>
        <v>1116000</v>
      </c>
    </row>
    <row r="514" spans="1:8" s="8" customFormat="1" x14ac:dyDescent="0.25">
      <c r="A514" s="16">
        <v>46129</v>
      </c>
      <c r="B514" s="8" t="s">
        <v>679</v>
      </c>
      <c r="C514" s="8">
        <v>20339259977</v>
      </c>
      <c r="D514" s="19" t="s">
        <v>680</v>
      </c>
      <c r="E514" s="32">
        <v>100000</v>
      </c>
      <c r="F514" s="36">
        <v>12</v>
      </c>
      <c r="G514" s="37">
        <v>31000</v>
      </c>
      <c r="H514" s="2">
        <f t="shared" si="39"/>
        <v>372000</v>
      </c>
    </row>
    <row r="515" spans="1:8" s="8" customFormat="1" x14ac:dyDescent="0.25">
      <c r="A515" s="16">
        <v>46129</v>
      </c>
      <c r="B515" s="8" t="s">
        <v>855</v>
      </c>
      <c r="C515" s="8">
        <v>27326810458</v>
      </c>
      <c r="D515" s="19" t="s">
        <v>856</v>
      </c>
      <c r="E515" s="32">
        <v>1000000</v>
      </c>
      <c r="F515" s="36">
        <v>12</v>
      </c>
      <c r="G515" s="37">
        <v>310000</v>
      </c>
      <c r="H515" s="2">
        <f t="shared" si="39"/>
        <v>3720000</v>
      </c>
    </row>
    <row r="516" spans="1:8" s="8" customFormat="1" x14ac:dyDescent="0.25">
      <c r="A516" s="16">
        <v>46129</v>
      </c>
      <c r="B516" s="8" t="s">
        <v>857</v>
      </c>
      <c r="C516" s="8">
        <v>27217587935</v>
      </c>
      <c r="D516" s="19" t="s">
        <v>858</v>
      </c>
      <c r="E516" s="32">
        <v>500000</v>
      </c>
      <c r="F516" s="36">
        <v>12</v>
      </c>
      <c r="G516" s="37">
        <v>155000</v>
      </c>
      <c r="H516" s="2">
        <f t="shared" si="39"/>
        <v>1860000</v>
      </c>
    </row>
    <row r="517" spans="1:8" s="8" customFormat="1" x14ac:dyDescent="0.25">
      <c r="A517" s="16">
        <v>46129</v>
      </c>
      <c r="B517" s="8" t="s">
        <v>859</v>
      </c>
      <c r="C517" s="8">
        <v>20377438915</v>
      </c>
      <c r="D517" s="19" t="s">
        <v>860</v>
      </c>
      <c r="E517" s="32">
        <v>500000</v>
      </c>
      <c r="F517" s="36">
        <v>12</v>
      </c>
      <c r="G517" s="37">
        <v>155000</v>
      </c>
      <c r="H517" s="2">
        <f t="shared" si="39"/>
        <v>1860000</v>
      </c>
    </row>
    <row r="518" spans="1:8" s="8" customFormat="1" x14ac:dyDescent="0.25">
      <c r="A518" s="31">
        <v>46132</v>
      </c>
      <c r="B518" s="8" t="s">
        <v>861</v>
      </c>
      <c r="C518" s="8">
        <v>23352015229</v>
      </c>
      <c r="D518" s="19" t="s">
        <v>862</v>
      </c>
      <c r="E518" s="32">
        <v>500000</v>
      </c>
      <c r="F518" s="36">
        <v>12</v>
      </c>
      <c r="G518" s="37">
        <v>155000</v>
      </c>
      <c r="H518" s="32">
        <f>+G518*F518</f>
        <v>1860000</v>
      </c>
    </row>
    <row r="519" spans="1:8" s="8" customFormat="1" x14ac:dyDescent="0.25">
      <c r="A519" s="31">
        <v>46132</v>
      </c>
      <c r="B519" s="8" t="s">
        <v>863</v>
      </c>
      <c r="C519" s="8">
        <v>20291042334</v>
      </c>
      <c r="D519" s="19" t="s">
        <v>350</v>
      </c>
      <c r="E519" s="32">
        <v>100000</v>
      </c>
      <c r="F519" s="36">
        <v>12</v>
      </c>
      <c r="G519" s="37">
        <v>31000</v>
      </c>
      <c r="H519" s="32">
        <f>+G519*F519</f>
        <v>372000</v>
      </c>
    </row>
    <row r="520" spans="1:8" s="8" customFormat="1" x14ac:dyDescent="0.25">
      <c r="A520" s="31">
        <v>46133</v>
      </c>
      <c r="B520" s="8" t="s">
        <v>864</v>
      </c>
      <c r="C520" s="8">
        <v>20353899563</v>
      </c>
      <c r="D520" s="19" t="s">
        <v>617</v>
      </c>
      <c r="E520" s="32">
        <v>1000000</v>
      </c>
      <c r="F520" s="36">
        <v>12</v>
      </c>
      <c r="G520" s="37">
        <v>310000</v>
      </c>
      <c r="H520" s="32">
        <f t="shared" ref="H520:H521" si="40">+G520*F520</f>
        <v>3720000</v>
      </c>
    </row>
    <row r="521" spans="1:8" s="8" customFormat="1" x14ac:dyDescent="0.25">
      <c r="A521" s="31">
        <v>46133</v>
      </c>
      <c r="B521" s="8" t="s">
        <v>865</v>
      </c>
      <c r="C521" s="8">
        <v>27181882978</v>
      </c>
      <c r="D521" s="19" t="s">
        <v>866</v>
      </c>
      <c r="E521" s="32">
        <v>500000</v>
      </c>
      <c r="F521" s="36">
        <v>12</v>
      </c>
      <c r="G521" s="37">
        <v>155000</v>
      </c>
      <c r="H521" s="32">
        <f t="shared" si="40"/>
        <v>1860000</v>
      </c>
    </row>
    <row r="522" spans="1:8" s="8" customFormat="1" x14ac:dyDescent="0.25">
      <c r="A522" s="31"/>
      <c r="C522" s="33"/>
      <c r="D522" s="34"/>
      <c r="E522" s="35"/>
      <c r="F522" s="6"/>
      <c r="G522" s="35"/>
      <c r="H522" s="32"/>
    </row>
    <row r="523" spans="1:8" s="8" customFormat="1" x14ac:dyDescent="0.25">
      <c r="A523" s="31"/>
      <c r="C523" s="33"/>
      <c r="D523" s="34"/>
      <c r="E523" s="35"/>
      <c r="F523" s="6"/>
      <c r="G523" s="35"/>
      <c r="H523" s="32"/>
    </row>
    <row r="524" spans="1:8" s="8" customFormat="1" x14ac:dyDescent="0.25">
      <c r="A524" s="31"/>
      <c r="C524" s="33"/>
      <c r="D524" s="34"/>
      <c r="E524" s="35"/>
      <c r="F524" s="6"/>
      <c r="G524" s="35"/>
      <c r="H524" s="32"/>
    </row>
    <row r="525" spans="1:8" s="8" customFormat="1" x14ac:dyDescent="0.25">
      <c r="A525" s="31"/>
      <c r="C525" s="33"/>
      <c r="D525" s="34"/>
      <c r="E525" s="35"/>
      <c r="F525" s="6"/>
      <c r="G525" s="35"/>
      <c r="H525" s="32"/>
    </row>
    <row r="526" spans="1:8" s="8" customFormat="1" x14ac:dyDescent="0.25">
      <c r="A526" s="31"/>
      <c r="C526" s="33"/>
      <c r="D526" s="34"/>
      <c r="E526" s="35"/>
      <c r="F526" s="6"/>
      <c r="G526" s="35"/>
      <c r="H526" s="32"/>
    </row>
    <row r="527" spans="1:8" s="8" customFormat="1" x14ac:dyDescent="0.25">
      <c r="A527" s="31"/>
      <c r="C527" s="33"/>
      <c r="D527" s="34"/>
      <c r="E527" s="35"/>
      <c r="F527" s="6"/>
      <c r="G527" s="35"/>
      <c r="H527" s="32"/>
    </row>
    <row r="528" spans="1:8" s="8" customFormat="1" x14ac:dyDescent="0.25">
      <c r="A528" s="31"/>
      <c r="C528" s="33"/>
      <c r="D528" s="34"/>
      <c r="E528" s="35"/>
      <c r="F528" s="6"/>
      <c r="G528" s="35"/>
      <c r="H528" s="32"/>
    </row>
    <row r="529" spans="1:8" s="8" customFormat="1" x14ac:dyDescent="0.25">
      <c r="A529" s="31"/>
      <c r="C529" s="33"/>
      <c r="D529" s="34"/>
      <c r="E529" s="35"/>
      <c r="F529" s="6"/>
      <c r="G529" s="35"/>
      <c r="H529" s="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</cp:lastModifiedBy>
  <dcterms:created xsi:type="dcterms:W3CDTF">2024-12-30T15:39:29Z</dcterms:created>
  <dcterms:modified xsi:type="dcterms:W3CDTF">2026-04-23T15:11:29Z</dcterms:modified>
</cp:coreProperties>
</file>